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stock_analysis_excel\"/>
    </mc:Choice>
  </mc:AlternateContent>
  <xr:revisionPtr revIDLastSave="0" documentId="13_ncr:1_{141B3357-2379-427E-AC5E-6FBEF89F61C7}" xr6:coauthVersionLast="47" xr6:coauthVersionMax="47" xr10:uidLastSave="{00000000-0000-0000-0000-000000000000}"/>
  <bookViews>
    <workbookView xWindow="210" yWindow="300" windowWidth="15840" windowHeight="10485" firstSheet="1" activeTab="3" xr2:uid="{98CB385C-E188-4640-A798-378284F67447}"/>
  </bookViews>
  <sheets>
    <sheet name="US Stocks" sheetId="1" r:id="rId1"/>
    <sheet name="Sheet2" sheetId="3" r:id="rId2"/>
    <sheet name="Tunisia Stocks" sheetId="2" r:id="rId3"/>
    <sheet name="Tun 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2" l="1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2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5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21" i="2"/>
  <c r="A1" i="1" a="1"/>
  <c r="L21" i="2" l="1"/>
  <c r="A1" i="1"/>
  <c r="J89" i="1"/>
  <c r="J155" i="1"/>
  <c r="J92" i="1"/>
  <c r="I19" i="1"/>
  <c r="J192" i="1"/>
  <c r="J130" i="1"/>
  <c r="H98" i="1"/>
  <c r="I11" i="1"/>
  <c r="I125" i="1"/>
  <c r="I134" i="1"/>
  <c r="J182" i="1"/>
  <c r="I78" i="1"/>
  <c r="I9" i="1"/>
  <c r="I180" i="1"/>
  <c r="I65" i="1"/>
  <c r="J91" i="1"/>
  <c r="H109" i="1"/>
  <c r="G154" i="1"/>
  <c r="H68" i="1"/>
  <c r="G59" i="1"/>
  <c r="J170" i="1"/>
  <c r="J47" i="1"/>
  <c r="I192" i="1"/>
  <c r="I153" i="1"/>
  <c r="I20" i="1"/>
  <c r="J124" i="1"/>
  <c r="I205" i="1"/>
  <c r="H178" i="1"/>
  <c r="I49" i="1"/>
  <c r="J140" i="1"/>
  <c r="I139" i="1"/>
  <c r="H110" i="1"/>
  <c r="J204" i="1"/>
  <c r="J173" i="1"/>
  <c r="J45" i="1"/>
  <c r="G120" i="1"/>
  <c r="I10" i="1"/>
  <c r="J24" i="1"/>
  <c r="H129" i="1"/>
  <c r="H166" i="1"/>
  <c r="G132" i="1"/>
  <c r="G190" i="1"/>
  <c r="I144" i="1"/>
  <c r="H78" i="1"/>
  <c r="I103" i="1"/>
  <c r="I111" i="1"/>
  <c r="J189" i="1"/>
  <c r="J81" i="1"/>
  <c r="H72" i="1"/>
  <c r="J102" i="1"/>
  <c r="J129" i="1"/>
  <c r="G34" i="1"/>
  <c r="J214" i="1"/>
  <c r="I83" i="1"/>
  <c r="I89" i="1"/>
  <c r="G177" i="1"/>
  <c r="I40" i="1"/>
  <c r="I58" i="1"/>
  <c r="J145" i="1"/>
  <c r="I26" i="1"/>
  <c r="I131" i="1"/>
  <c r="G216" i="1"/>
  <c r="H151" i="1"/>
  <c r="G130" i="1"/>
  <c r="J18" i="1"/>
  <c r="J59" i="1"/>
  <c r="I70" i="1"/>
  <c r="H167" i="1"/>
  <c r="I181" i="1"/>
  <c r="J205" i="1"/>
  <c r="G208" i="1"/>
  <c r="G207" i="1"/>
  <c r="I173" i="1"/>
  <c r="I169" i="1"/>
  <c r="I121" i="1"/>
  <c r="H153" i="1"/>
  <c r="J74" i="1"/>
  <c r="G181" i="1"/>
  <c r="I108" i="1"/>
  <c r="I28" i="1"/>
  <c r="G184" i="1"/>
  <c r="H197" i="1"/>
  <c r="G57" i="1"/>
  <c r="G206" i="1"/>
  <c r="I21" i="1"/>
  <c r="G149" i="1"/>
  <c r="G129" i="1"/>
  <c r="I178" i="1"/>
  <c r="J137" i="1"/>
  <c r="I210" i="1"/>
  <c r="H131" i="1"/>
  <c r="J160" i="1"/>
  <c r="J216" i="1"/>
  <c r="H106" i="1"/>
  <c r="J34" i="1"/>
  <c r="J207" i="1"/>
  <c r="J121" i="1"/>
  <c r="G80" i="1"/>
  <c r="G51" i="1"/>
  <c r="J196" i="1"/>
  <c r="I120" i="1"/>
  <c r="G127" i="1"/>
  <c r="H139" i="1"/>
  <c r="G182" i="1"/>
  <c r="I215" i="1"/>
  <c r="J111" i="1"/>
  <c r="G67" i="1"/>
  <c r="G193" i="1"/>
  <c r="I87" i="1"/>
  <c r="I62" i="1"/>
  <c r="J187" i="1"/>
  <c r="I137" i="1"/>
  <c r="J48" i="1"/>
  <c r="I98" i="1"/>
  <c r="G54" i="1"/>
  <c r="G93" i="1"/>
  <c r="I197" i="1"/>
  <c r="J107" i="1"/>
  <c r="I114" i="1"/>
  <c r="G151" i="1"/>
  <c r="G41" i="1"/>
  <c r="J22" i="1"/>
  <c r="I130" i="1"/>
  <c r="I184" i="1"/>
  <c r="G139" i="1"/>
  <c r="I110" i="1"/>
  <c r="H87" i="1"/>
  <c r="H64" i="1"/>
  <c r="G131" i="1"/>
  <c r="I213" i="1"/>
  <c r="H210" i="1"/>
  <c r="H71" i="1"/>
  <c r="J123" i="1"/>
  <c r="J195" i="1"/>
  <c r="J4" i="1"/>
  <c r="H59" i="1"/>
  <c r="H116" i="1"/>
  <c r="I198" i="1"/>
  <c r="H107" i="1"/>
  <c r="J110" i="1"/>
  <c r="I8" i="1"/>
  <c r="H127" i="1"/>
  <c r="I148" i="1"/>
  <c r="J176" i="1"/>
  <c r="I66" i="1"/>
  <c r="J35" i="1"/>
  <c r="H89" i="1"/>
  <c r="H77" i="1"/>
  <c r="G137" i="1"/>
  <c r="I127" i="1"/>
  <c r="I85" i="1"/>
  <c r="H138" i="1"/>
  <c r="I68" i="1"/>
  <c r="J60" i="1"/>
  <c r="J37" i="1"/>
  <c r="J9" i="1"/>
  <c r="G102" i="1"/>
  <c r="H164" i="1"/>
  <c r="H192" i="1"/>
  <c r="H173" i="1"/>
  <c r="I190" i="1"/>
  <c r="J3" i="1"/>
  <c r="J8" i="1"/>
  <c r="H191" i="1"/>
  <c r="J174" i="1"/>
  <c r="G144" i="1"/>
  <c r="G37" i="1"/>
  <c r="J148" i="1"/>
  <c r="J68" i="1"/>
  <c r="J77" i="1"/>
  <c r="H172" i="1"/>
  <c r="H121" i="1"/>
  <c r="I179" i="1"/>
  <c r="J211" i="1"/>
  <c r="H52" i="1"/>
  <c r="G172" i="1"/>
  <c r="H162" i="1"/>
  <c r="H198" i="1"/>
  <c r="H152" i="1"/>
  <c r="J14" i="1"/>
  <c r="G39" i="1"/>
  <c r="H58" i="1"/>
  <c r="G97" i="1"/>
  <c r="G138" i="1"/>
  <c r="G122" i="1"/>
  <c r="H90" i="1"/>
  <c r="G108" i="1"/>
  <c r="J83" i="1"/>
  <c r="J17" i="1"/>
  <c r="J202" i="1"/>
  <c r="G197" i="1"/>
  <c r="J57" i="1"/>
  <c r="J193" i="1"/>
  <c r="J54" i="1"/>
  <c r="I45" i="1"/>
  <c r="G152" i="1"/>
  <c r="J185" i="1"/>
  <c r="J63" i="1"/>
  <c r="I33" i="1"/>
  <c r="G125" i="1"/>
  <c r="H103" i="1"/>
  <c r="G214" i="1"/>
  <c r="I102" i="1"/>
  <c r="G77" i="1"/>
  <c r="G169" i="1"/>
  <c r="J49" i="1"/>
  <c r="G91" i="1"/>
  <c r="I4" i="1"/>
  <c r="H187" i="1"/>
  <c r="I47" i="1"/>
  <c r="I211" i="1"/>
  <c r="I90" i="1"/>
  <c r="J40" i="1"/>
  <c r="I41" i="1"/>
  <c r="G200" i="1"/>
  <c r="G48" i="1"/>
  <c r="I193" i="1"/>
  <c r="H128" i="1"/>
  <c r="H105" i="1"/>
  <c r="H140" i="1"/>
  <c r="J94" i="1"/>
  <c r="I29" i="1"/>
  <c r="G71" i="1"/>
  <c r="J69" i="1"/>
  <c r="I105" i="1"/>
  <c r="H206" i="1"/>
  <c r="J84" i="1"/>
  <c r="J165" i="1"/>
  <c r="I165" i="1"/>
  <c r="I136" i="1"/>
  <c r="G83" i="1"/>
  <c r="H79" i="1"/>
  <c r="I160" i="1"/>
  <c r="J201" i="1"/>
  <c r="I155" i="1"/>
  <c r="G43" i="1"/>
  <c r="J41" i="1"/>
  <c r="I170" i="1"/>
  <c r="I113" i="1"/>
  <c r="J200" i="1"/>
  <c r="J144" i="1"/>
  <c r="I42" i="1"/>
  <c r="I60" i="1"/>
  <c r="J31" i="1"/>
  <c r="G205" i="1"/>
  <c r="H147" i="1"/>
  <c r="G136" i="1"/>
  <c r="I54" i="1"/>
  <c r="I167" i="1"/>
  <c r="J62" i="1"/>
  <c r="H130" i="1"/>
  <c r="J175" i="1"/>
  <c r="J157" i="1"/>
  <c r="H165" i="1"/>
  <c r="I117" i="1"/>
  <c r="I44" i="1"/>
  <c r="I57" i="1"/>
  <c r="H143" i="1"/>
  <c r="J36" i="1"/>
  <c r="H56" i="1"/>
  <c r="I138" i="1"/>
  <c r="I63" i="1"/>
  <c r="J194" i="1"/>
  <c r="J43" i="1"/>
  <c r="J93" i="1"/>
  <c r="I128" i="1"/>
  <c r="I194" i="1"/>
  <c r="I168" i="1"/>
  <c r="G185" i="1"/>
  <c r="G204" i="1"/>
  <c r="I186" i="1"/>
  <c r="J88" i="1"/>
  <c r="J127" i="1"/>
  <c r="G66" i="1"/>
  <c r="I23" i="1"/>
  <c r="J164" i="1"/>
  <c r="H80" i="1"/>
  <c r="H193" i="1"/>
  <c r="G106" i="1"/>
  <c r="J104" i="1"/>
  <c r="I135" i="1"/>
  <c r="H82" i="1"/>
  <c r="J153" i="1"/>
  <c r="G22" i="1"/>
  <c r="H86" i="1"/>
  <c r="J178" i="1"/>
  <c r="J27" i="1"/>
  <c r="H100" i="1"/>
  <c r="I147" i="1"/>
  <c r="I203" i="1"/>
  <c r="J114" i="1"/>
  <c r="J82" i="1"/>
  <c r="I88" i="1"/>
  <c r="G173" i="1"/>
  <c r="J117" i="1"/>
  <c r="G189" i="1"/>
  <c r="J21" i="1"/>
  <c r="I109" i="1"/>
  <c r="G47" i="1"/>
  <c r="I133" i="1"/>
  <c r="J179" i="1"/>
  <c r="I59" i="1"/>
  <c r="G160" i="1"/>
  <c r="J95" i="1"/>
  <c r="J42" i="1"/>
  <c r="J209" i="1"/>
  <c r="G198" i="1"/>
  <c r="H154" i="1"/>
  <c r="G50" i="1"/>
  <c r="H141" i="1"/>
  <c r="G87" i="1"/>
  <c r="I69" i="1"/>
  <c r="J76" i="1"/>
  <c r="I22" i="1"/>
  <c r="J106" i="1"/>
  <c r="I146" i="1"/>
  <c r="G107" i="1"/>
  <c r="G53" i="1"/>
  <c r="H88" i="1"/>
  <c r="J6" i="1"/>
  <c r="J198" i="1"/>
  <c r="I129" i="1"/>
  <c r="J105" i="1"/>
  <c r="G165" i="1"/>
  <c r="G49" i="1"/>
  <c r="H212" i="1"/>
  <c r="J44" i="1"/>
  <c r="I93" i="1"/>
  <c r="G55" i="1"/>
  <c r="H208" i="1"/>
  <c r="I208" i="1"/>
  <c r="I183" i="1"/>
  <c r="I35" i="1"/>
  <c r="I143" i="1"/>
  <c r="I116" i="1"/>
  <c r="H84" i="1"/>
  <c r="I212" i="1"/>
  <c r="J161" i="1"/>
  <c r="J67" i="1"/>
  <c r="H60" i="1"/>
  <c r="H69" i="1"/>
  <c r="J184" i="1"/>
  <c r="I14" i="1"/>
  <c r="G109" i="1"/>
  <c r="I71" i="1"/>
  <c r="I86" i="1"/>
  <c r="G203" i="1"/>
  <c r="H53" i="1"/>
  <c r="G161" i="1"/>
  <c r="G98" i="1"/>
  <c r="H196" i="1"/>
  <c r="H75" i="1"/>
  <c r="G141" i="1"/>
  <c r="G31" i="1"/>
  <c r="J212" i="1"/>
  <c r="J55" i="1"/>
  <c r="J119" i="1"/>
  <c r="I91" i="1"/>
  <c r="H54" i="1"/>
  <c r="G62" i="1"/>
  <c r="J108" i="1"/>
  <c r="I32" i="1"/>
  <c r="I30" i="1"/>
  <c r="G135" i="1"/>
  <c r="H120" i="1"/>
  <c r="H99" i="1"/>
  <c r="G167" i="1"/>
  <c r="J133" i="1"/>
  <c r="J118" i="1"/>
  <c r="J142" i="1"/>
  <c r="I15" i="1"/>
  <c r="G86" i="1"/>
  <c r="J167" i="1"/>
  <c r="J177" i="1"/>
  <c r="G72" i="1"/>
  <c r="J112" i="1"/>
  <c r="J51" i="1"/>
  <c r="G65" i="1"/>
  <c r="G174" i="1"/>
  <c r="G176" i="1"/>
  <c r="J183" i="1"/>
  <c r="I25" i="1"/>
  <c r="I82" i="1"/>
  <c r="I196" i="1"/>
  <c r="G29" i="1"/>
  <c r="J171" i="1"/>
  <c r="J146" i="1"/>
  <c r="I145" i="1"/>
  <c r="H177" i="1"/>
  <c r="J103" i="1"/>
  <c r="I166" i="1"/>
  <c r="J61" i="1"/>
  <c r="H126" i="1"/>
  <c r="G27" i="1"/>
  <c r="H76" i="1"/>
  <c r="G52" i="1"/>
  <c r="H102" i="1"/>
  <c r="G121" i="1"/>
  <c r="G90" i="1"/>
  <c r="I174" i="1"/>
  <c r="J169" i="1"/>
  <c r="G25" i="1"/>
  <c r="G21" i="1"/>
  <c r="J65" i="1"/>
  <c r="H215" i="1"/>
  <c r="J159" i="1"/>
  <c r="G191" i="1"/>
  <c r="J154" i="1"/>
  <c r="J33" i="1"/>
  <c r="G147" i="1"/>
  <c r="G101" i="1"/>
  <c r="I189" i="1"/>
  <c r="J58" i="1"/>
  <c r="J109" i="1"/>
  <c r="H134" i="1"/>
  <c r="H160" i="1"/>
  <c r="H117" i="1"/>
  <c r="J64" i="1"/>
  <c r="G183" i="1"/>
  <c r="J50" i="1"/>
  <c r="I204" i="1"/>
  <c r="I53" i="1"/>
  <c r="J5" i="1"/>
  <c r="J100" i="1"/>
  <c r="H146" i="1"/>
  <c r="G60" i="1"/>
  <c r="I216" i="1"/>
  <c r="G95" i="1"/>
  <c r="H97" i="1"/>
  <c r="G44" i="1"/>
  <c r="J26" i="1"/>
  <c r="H185" i="1"/>
  <c r="I119" i="1"/>
  <c r="I118" i="1"/>
  <c r="H61" i="1"/>
  <c r="I123" i="1"/>
  <c r="H148" i="1"/>
  <c r="G103" i="1"/>
  <c r="H118" i="1"/>
  <c r="H114" i="1"/>
  <c r="J135" i="1"/>
  <c r="J96" i="1"/>
  <c r="H174" i="1"/>
  <c r="I46" i="1"/>
  <c r="I150" i="1"/>
  <c r="I96" i="1"/>
  <c r="I13" i="1"/>
  <c r="I79" i="1"/>
  <c r="G145" i="1"/>
  <c r="I163" i="1"/>
  <c r="I191" i="1"/>
  <c r="H182" i="1"/>
  <c r="I24" i="1"/>
  <c r="G96" i="1"/>
  <c r="I188" i="1"/>
  <c r="G105" i="1"/>
  <c r="I37" i="1"/>
  <c r="I199" i="1"/>
  <c r="H104" i="1"/>
  <c r="G126" i="1"/>
  <c r="G69" i="1"/>
  <c r="G117" i="1"/>
  <c r="G175" i="1"/>
  <c r="J152" i="1"/>
  <c r="H145" i="1"/>
  <c r="G195" i="1"/>
  <c r="I161" i="1"/>
  <c r="I126" i="1"/>
  <c r="I67" i="1"/>
  <c r="J80" i="1"/>
  <c r="I72" i="1"/>
  <c r="G158" i="1"/>
  <c r="J120" i="1"/>
  <c r="G194" i="1"/>
  <c r="I81" i="1"/>
  <c r="I43" i="1"/>
  <c r="J98" i="1"/>
  <c r="G58" i="1"/>
  <c r="G46" i="1"/>
  <c r="H200" i="1"/>
  <c r="I107" i="1"/>
  <c r="J188" i="1"/>
  <c r="I207" i="1"/>
  <c r="G156" i="1"/>
  <c r="I16" i="1"/>
  <c r="G153" i="1"/>
  <c r="G187" i="1"/>
  <c r="G163" i="1"/>
  <c r="I159" i="1"/>
  <c r="I18" i="1"/>
  <c r="G140" i="1"/>
  <c r="G115" i="1"/>
  <c r="J12" i="1"/>
  <c r="J28" i="1"/>
  <c r="G30" i="1"/>
  <c r="G79" i="1"/>
  <c r="J206" i="1"/>
  <c r="J190" i="1"/>
  <c r="J215" i="1"/>
  <c r="I152" i="1"/>
  <c r="J126" i="1"/>
  <c r="H101" i="1"/>
  <c r="H181" i="1"/>
  <c r="H156" i="1"/>
  <c r="J132" i="1"/>
  <c r="J29" i="1"/>
  <c r="J73" i="1"/>
  <c r="H94" i="1"/>
  <c r="H62" i="1"/>
  <c r="H73" i="1"/>
  <c r="G94" i="1"/>
  <c r="I156" i="1"/>
  <c r="I112" i="1"/>
  <c r="H67" i="1"/>
  <c r="I195" i="1"/>
  <c r="I100" i="1"/>
  <c r="H163" i="1"/>
  <c r="G45" i="1"/>
  <c r="I95" i="1"/>
  <c r="I176" i="1"/>
  <c r="H211" i="1"/>
  <c r="I50" i="1"/>
  <c r="I132" i="1"/>
  <c r="I101" i="1"/>
  <c r="G28" i="1"/>
  <c r="H194" i="1"/>
  <c r="J181" i="1"/>
  <c r="I115" i="1"/>
  <c r="J86" i="1"/>
  <c r="H123" i="1"/>
  <c r="J156" i="1"/>
  <c r="H213" i="1"/>
  <c r="G81" i="1"/>
  <c r="H216" i="1"/>
  <c r="H155" i="1"/>
  <c r="J56" i="1"/>
  <c r="H168" i="1"/>
  <c r="G32" i="1"/>
  <c r="H93" i="1"/>
  <c r="G128" i="1"/>
  <c r="H125" i="1"/>
  <c r="G212" i="1"/>
  <c r="I122" i="1"/>
  <c r="H95" i="1"/>
  <c r="H188" i="1"/>
  <c r="G199" i="1"/>
  <c r="I209" i="1"/>
  <c r="J199" i="1"/>
  <c r="J78" i="1"/>
  <c r="H51" i="1"/>
  <c r="G110" i="1"/>
  <c r="J2" i="1"/>
  <c r="G119" i="1"/>
  <c r="I177" i="1"/>
  <c r="I38" i="1"/>
  <c r="I39" i="1"/>
  <c r="G133" i="1"/>
  <c r="G166" i="1"/>
  <c r="J128" i="1"/>
  <c r="G123" i="1"/>
  <c r="J139" i="1"/>
  <c r="G192" i="1"/>
  <c r="G114" i="1"/>
  <c r="J150" i="1"/>
  <c r="J19" i="1"/>
  <c r="I56" i="1"/>
  <c r="I172" i="1"/>
  <c r="H179" i="1"/>
  <c r="H201" i="1"/>
  <c r="I52" i="1"/>
  <c r="H74" i="1"/>
  <c r="G92" i="1"/>
  <c r="H66" i="1"/>
  <c r="G89" i="1"/>
  <c r="I3" i="1"/>
  <c r="G142" i="1"/>
  <c r="I142" i="1"/>
  <c r="G35" i="1"/>
  <c r="J149" i="1"/>
  <c r="H115" i="1"/>
  <c r="G201" i="1"/>
  <c r="G143" i="1"/>
  <c r="J99" i="1"/>
  <c r="G73" i="1"/>
  <c r="J116" i="1"/>
  <c r="G63" i="1"/>
  <c r="J10" i="1"/>
  <c r="G24" i="1"/>
  <c r="G210" i="1"/>
  <c r="H65" i="1"/>
  <c r="H209" i="1"/>
  <c r="H207" i="1"/>
  <c r="I124" i="1"/>
  <c r="H70" i="1"/>
  <c r="J162" i="1"/>
  <c r="I182" i="1"/>
  <c r="H57" i="1"/>
  <c r="I73" i="1"/>
  <c r="J122" i="1"/>
  <c r="H183" i="1"/>
  <c r="G104" i="1"/>
  <c r="H136" i="1"/>
  <c r="H184" i="1"/>
  <c r="G23" i="1"/>
  <c r="G68" i="1"/>
  <c r="I200" i="1"/>
  <c r="H214" i="1"/>
  <c r="H92" i="1"/>
  <c r="H83" i="1"/>
  <c r="G36" i="1"/>
  <c r="I157" i="1"/>
  <c r="J134" i="1"/>
  <c r="J210" i="1"/>
  <c r="G99" i="1"/>
  <c r="J97" i="1"/>
  <c r="J87" i="1"/>
  <c r="G178" i="1"/>
  <c r="H158" i="1"/>
  <c r="J101" i="1"/>
  <c r="I7" i="1"/>
  <c r="I51" i="1"/>
  <c r="H111" i="1"/>
  <c r="G188" i="1"/>
  <c r="J138" i="1"/>
  <c r="G84" i="1"/>
  <c r="G88" i="1"/>
  <c r="H112" i="1"/>
  <c r="J30" i="1"/>
  <c r="H85" i="1"/>
  <c r="G164" i="1"/>
  <c r="H63" i="1"/>
  <c r="G202" i="1"/>
  <c r="I80" i="1"/>
  <c r="I2" i="1"/>
  <c r="H144" i="1"/>
  <c r="G186" i="1"/>
  <c r="I141" i="1"/>
  <c r="H135" i="1"/>
  <c r="G171" i="1"/>
  <c r="J46" i="1"/>
  <c r="J72" i="1"/>
  <c r="H202" i="1"/>
  <c r="G213" i="1"/>
  <c r="I149" i="1"/>
  <c r="H169" i="1"/>
  <c r="I99" i="1"/>
  <c r="G134" i="1"/>
  <c r="J15" i="1"/>
  <c r="H137" i="1"/>
  <c r="J131" i="1"/>
  <c r="J38" i="1"/>
  <c r="J168" i="1"/>
  <c r="J186" i="1"/>
  <c r="I77" i="1"/>
  <c r="J66" i="1"/>
  <c r="I75" i="1"/>
  <c r="I104" i="1"/>
  <c r="J53" i="1"/>
  <c r="H132" i="1"/>
  <c r="J143" i="1"/>
  <c r="H204" i="1"/>
  <c r="I185" i="1"/>
  <c r="H203" i="1"/>
  <c r="H189" i="1"/>
  <c r="I158" i="1"/>
  <c r="G100" i="1"/>
  <c r="G111" i="1"/>
  <c r="H175" i="1"/>
  <c r="H108" i="1"/>
  <c r="I162" i="1"/>
  <c r="G38" i="1"/>
  <c r="H195" i="1"/>
  <c r="I97" i="1"/>
  <c r="I164" i="1"/>
  <c r="G40" i="1"/>
  <c r="J13" i="1"/>
  <c r="G61" i="1"/>
  <c r="H186" i="1"/>
  <c r="J136" i="1"/>
  <c r="J172" i="1"/>
  <c r="G112" i="1"/>
  <c r="H149" i="1"/>
  <c r="J11" i="1"/>
  <c r="J20" i="1"/>
  <c r="G33" i="1"/>
  <c r="G64" i="1"/>
  <c r="H180" i="1"/>
  <c r="I201" i="1"/>
  <c r="H176" i="1"/>
  <c r="I94" i="1"/>
  <c r="H190" i="1"/>
  <c r="J158" i="1"/>
  <c r="J166" i="1"/>
  <c r="G113" i="1"/>
  <c r="H142" i="1"/>
  <c r="I36" i="1"/>
  <c r="J70" i="1"/>
  <c r="J203" i="1"/>
  <c r="I84" i="1"/>
  <c r="I187" i="1"/>
  <c r="I175" i="1"/>
  <c r="G70" i="1"/>
  <c r="G118" i="1"/>
  <c r="I151" i="1"/>
  <c r="J141" i="1"/>
  <c r="I214" i="1"/>
  <c r="G159" i="1"/>
  <c r="G211" i="1"/>
  <c r="H81" i="1"/>
  <c r="I12" i="1"/>
  <c r="J79" i="1"/>
  <c r="G56" i="1"/>
  <c r="J23" i="1"/>
  <c r="H171" i="1"/>
  <c r="G209" i="1"/>
  <c r="G157" i="1"/>
  <c r="I92" i="1"/>
  <c r="H55" i="1"/>
  <c r="G74" i="1"/>
  <c r="G75" i="1"/>
  <c r="H157" i="1"/>
  <c r="G76" i="1"/>
  <c r="G42" i="1"/>
  <c r="G168" i="1"/>
  <c r="G82" i="1"/>
  <c r="G162" i="1"/>
  <c r="J85" i="1"/>
  <c r="J90" i="1"/>
  <c r="I17" i="1"/>
  <c r="J213" i="1"/>
  <c r="J197" i="1"/>
  <c r="G170" i="1"/>
  <c r="G116" i="1"/>
  <c r="J151" i="1"/>
  <c r="I55" i="1"/>
  <c r="G215" i="1"/>
  <c r="H159" i="1"/>
  <c r="I31" i="1"/>
  <c r="H124" i="1"/>
  <c r="G124" i="1"/>
  <c r="J32" i="1"/>
  <c r="I171" i="1"/>
  <c r="I154" i="1"/>
  <c r="G180" i="1"/>
  <c r="H199" i="1"/>
  <c r="I48" i="1"/>
  <c r="G150" i="1"/>
  <c r="J147" i="1"/>
  <c r="H119" i="1"/>
  <c r="G179" i="1"/>
  <c r="J191" i="1"/>
  <c r="J7" i="1"/>
  <c r="J25" i="1"/>
  <c r="H113" i="1"/>
  <c r="I27" i="1"/>
  <c r="J71" i="1"/>
  <c r="H170" i="1"/>
  <c r="H96" i="1"/>
  <c r="G85" i="1"/>
  <c r="I106" i="1"/>
  <c r="I34" i="1"/>
  <c r="I202" i="1"/>
  <c r="J125" i="1"/>
  <c r="J113" i="1"/>
  <c r="J75" i="1"/>
  <c r="I64" i="1"/>
  <c r="G26" i="1"/>
  <c r="I140" i="1"/>
  <c r="I61" i="1"/>
  <c r="J115" i="1"/>
  <c r="H150" i="1"/>
  <c r="I6" i="1"/>
  <c r="J163" i="1"/>
  <c r="J180" i="1"/>
  <c r="J16" i="1"/>
  <c r="H91" i="1"/>
  <c r="H161" i="1"/>
  <c r="J39" i="1"/>
  <c r="G148" i="1"/>
  <c r="H205" i="1"/>
  <c r="J208" i="1"/>
  <c r="I74" i="1"/>
  <c r="I206" i="1"/>
  <c r="G155" i="1"/>
  <c r="J52" i="1"/>
  <c r="H133" i="1"/>
  <c r="G146" i="1"/>
  <c r="G196" i="1"/>
  <c r="I76" i="1"/>
  <c r="G78" i="1"/>
  <c r="I5" i="1"/>
  <c r="H122" i="1"/>
  <c r="K35" i="1" l="1"/>
  <c r="K118" i="1"/>
  <c r="K213" i="1"/>
  <c r="K104" i="1"/>
  <c r="K155" i="1"/>
  <c r="K45" i="1"/>
  <c r="K63" i="1"/>
  <c r="K210" i="1"/>
  <c r="K116" i="1"/>
  <c r="K161" i="1"/>
  <c r="K58" i="1"/>
  <c r="K48" i="1"/>
  <c r="K115" i="1"/>
  <c r="K83" i="1"/>
  <c r="K180" i="1"/>
  <c r="K44" i="1"/>
  <c r="K42" i="1"/>
  <c r="K160" i="1"/>
  <c r="K89" i="1"/>
  <c r="K91" i="1"/>
  <c r="K26" i="1"/>
  <c r="K109" i="1"/>
  <c r="K191" i="1"/>
  <c r="K34" i="1"/>
  <c r="K65" i="1"/>
  <c r="K157" i="1"/>
  <c r="K106" i="1"/>
  <c r="K75" i="1"/>
  <c r="K171" i="1"/>
  <c r="K119" i="1"/>
  <c r="K173" i="1"/>
  <c r="K80" i="1"/>
  <c r="K131" i="1"/>
  <c r="K152" i="1"/>
  <c r="K25" i="1"/>
  <c r="K114" i="1"/>
  <c r="K123" i="1"/>
  <c r="K107" i="1"/>
  <c r="K62" i="1"/>
  <c r="K88" i="1"/>
  <c r="K76" i="1"/>
  <c r="K167" i="1"/>
  <c r="K195" i="1"/>
  <c r="K100" i="1"/>
  <c r="K110" i="1"/>
  <c r="K98" i="1"/>
  <c r="K85" i="1"/>
  <c r="K23" i="1"/>
  <c r="K206" i="1"/>
  <c r="K208" i="1"/>
  <c r="K199" i="1"/>
  <c r="K170" i="1"/>
  <c r="K47" i="1"/>
  <c r="K99" i="1"/>
  <c r="K128" i="1"/>
  <c r="K178" i="1"/>
  <c r="K122" i="1"/>
  <c r="K196" i="1"/>
  <c r="K203" i="1"/>
  <c r="K197" i="1"/>
  <c r="K68" i="1"/>
  <c r="K82" i="1"/>
  <c r="K214" i="1"/>
  <c r="K126" i="1"/>
  <c r="K43" i="1"/>
  <c r="K159" i="1"/>
  <c r="K66" i="1"/>
  <c r="K149" i="1"/>
  <c r="K136" i="1"/>
  <c r="K53" i="1"/>
  <c r="K182" i="1"/>
  <c r="K51" i="1"/>
  <c r="K176" i="1"/>
  <c r="K60" i="1"/>
  <c r="K113" i="1"/>
  <c r="K59" i="1"/>
  <c r="K204" i="1"/>
  <c r="K36" i="1"/>
  <c r="K193" i="1"/>
  <c r="K142" i="1"/>
  <c r="K93" i="1"/>
  <c r="K189" i="1"/>
  <c r="K211" i="1"/>
  <c r="K200" i="1"/>
  <c r="K46" i="1"/>
  <c r="K94" i="1"/>
  <c r="K38" i="1"/>
  <c r="K145" i="1"/>
  <c r="K31" i="1"/>
  <c r="K117" i="1"/>
  <c r="K202" i="1"/>
  <c r="K186" i="1"/>
  <c r="K138" i="1"/>
  <c r="K198" i="1"/>
  <c r="K90" i="1"/>
  <c r="K39" i="1"/>
  <c r="K162" i="1"/>
  <c r="K49" i="1"/>
  <c r="K153" i="1"/>
  <c r="K69" i="1"/>
  <c r="K84" i="1"/>
  <c r="K74" i="1"/>
  <c r="K101" i="1"/>
  <c r="K183" i="1"/>
  <c r="K194" i="1"/>
  <c r="K50" i="1"/>
  <c r="K184" i="1"/>
  <c r="K102" i="1"/>
  <c r="K33" i="1"/>
  <c r="K28" i="1"/>
  <c r="K129" i="1"/>
  <c r="K215" i="1"/>
  <c r="K179" i="1"/>
  <c r="K147" i="1"/>
  <c r="K185" i="1"/>
  <c r="K205" i="1"/>
  <c r="K97" i="1"/>
  <c r="K77" i="1"/>
  <c r="K132" i="1"/>
  <c r="K166" i="1"/>
  <c r="K177" i="1"/>
  <c r="K32" i="1"/>
  <c r="K187" i="1"/>
  <c r="K169" i="1"/>
  <c r="K144" i="1"/>
  <c r="K216" i="1"/>
  <c r="K30" i="1"/>
  <c r="K57" i="1"/>
  <c r="K120" i="1"/>
  <c r="K181" i="1"/>
  <c r="K29" i="1"/>
  <c r="K168" i="1"/>
  <c r="K175" i="1"/>
  <c r="K92" i="1"/>
  <c r="K165" i="1"/>
  <c r="K86" i="1"/>
  <c r="K124" i="1"/>
  <c r="K125" i="1"/>
  <c r="K133" i="1"/>
  <c r="K172" i="1"/>
  <c r="K55" i="1"/>
  <c r="K103" i="1"/>
  <c r="K27" i="1"/>
  <c r="K56" i="1"/>
  <c r="K164" i="1"/>
  <c r="K148" i="1"/>
  <c r="K64" i="1"/>
  <c r="K201" i="1"/>
  <c r="K111" i="1"/>
  <c r="K190" i="1"/>
  <c r="K81" i="1"/>
  <c r="K73" i="1"/>
  <c r="K96" i="1"/>
  <c r="K22" i="1"/>
  <c r="K79" i="1"/>
  <c r="K54" i="1"/>
  <c r="K41" i="1"/>
  <c r="K130" i="1"/>
  <c r="K78" i="1"/>
  <c r="K121" i="1"/>
  <c r="K192" i="1"/>
  <c r="K143" i="1"/>
  <c r="K174" i="1"/>
  <c r="K141" i="1"/>
  <c r="K24" i="1"/>
  <c r="K134" i="1"/>
  <c r="K72" i="1"/>
  <c r="K150" i="1"/>
  <c r="K209" i="1"/>
  <c r="K207" i="1"/>
  <c r="K71" i="1"/>
  <c r="K135" i="1"/>
  <c r="K158" i="1"/>
  <c r="K105" i="1"/>
  <c r="K151" i="1"/>
  <c r="K139" i="1"/>
  <c r="K154" i="1"/>
  <c r="K52" i="1"/>
  <c r="K188" i="1"/>
  <c r="K70" i="1"/>
  <c r="K137" i="1"/>
  <c r="K127" i="1"/>
  <c r="K95" i="1"/>
  <c r="K61" i="1"/>
  <c r="K40" i="1"/>
  <c r="K146" i="1"/>
  <c r="K112" i="1"/>
  <c r="K163" i="1"/>
  <c r="K212" i="1"/>
  <c r="K87" i="1"/>
  <c r="K67" i="1"/>
  <c r="K140" i="1"/>
  <c r="K156" i="1"/>
  <c r="K37" i="1"/>
  <c r="K108" i="1"/>
  <c r="K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4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</futureMetadata>
  <cellMetadata count="1">
    <bk>
      <rc t="1" v="0"/>
    </bk>
  </cellMetadata>
  <valueMetadata count="1243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</valueMetadata>
</metadata>
</file>

<file path=xl/sharedStrings.xml><?xml version="1.0" encoding="utf-8"?>
<sst xmlns="http://schemas.openxmlformats.org/spreadsheetml/2006/main" count="231" uniqueCount="183">
  <si>
    <t>20 Day</t>
  </si>
  <si>
    <t>50 Day</t>
  </si>
  <si>
    <t>Cum Daily Returns</t>
  </si>
  <si>
    <t>HighLow</t>
  </si>
  <si>
    <t>HighLow20Day</t>
  </si>
  <si>
    <t>Date</t>
  </si>
  <si>
    <t>Price</t>
  </si>
  <si>
    <t>Open</t>
  </si>
  <si>
    <t>High</t>
  </si>
  <si>
    <t>Low</t>
  </si>
  <si>
    <t>Vol.</t>
  </si>
  <si>
    <t>0.05K</t>
  </si>
  <si>
    <t>1.07K</t>
  </si>
  <si>
    <t>0.11K</t>
  </si>
  <si>
    <t>0.10K</t>
  </si>
  <si>
    <t>0.00K</t>
  </si>
  <si>
    <t>0.87K</t>
  </si>
  <si>
    <t>0.28K</t>
  </si>
  <si>
    <t>0.64K</t>
  </si>
  <si>
    <t>1.73K</t>
  </si>
  <si>
    <t>0.60K</t>
  </si>
  <si>
    <t>0.93K</t>
  </si>
  <si>
    <t>0.61K</t>
  </si>
  <si>
    <t>0.36K</t>
  </si>
  <si>
    <t>0.90K</t>
  </si>
  <si>
    <t>1.36K</t>
  </si>
  <si>
    <t>1.04K</t>
  </si>
  <si>
    <t>2.44K</t>
  </si>
  <si>
    <t>1.12K</t>
  </si>
  <si>
    <t>1.33K</t>
  </si>
  <si>
    <t>0.06K</t>
  </si>
  <si>
    <t>1.18K</t>
  </si>
  <si>
    <t>0.15K</t>
  </si>
  <si>
    <t>0.21K</t>
  </si>
  <si>
    <t>0.85K</t>
  </si>
  <si>
    <t>0.07K</t>
  </si>
  <si>
    <t>0.26K</t>
  </si>
  <si>
    <t>1.35K</t>
  </si>
  <si>
    <t>2.43K</t>
  </si>
  <si>
    <t>0.47K</t>
  </si>
  <si>
    <t>1.39K</t>
  </si>
  <si>
    <t>0.20K</t>
  </si>
  <si>
    <t>1.06K</t>
  </si>
  <si>
    <t>0.55K</t>
  </si>
  <si>
    <t>1.45K</t>
  </si>
  <si>
    <t>0.92K</t>
  </si>
  <si>
    <t>1.02K</t>
  </si>
  <si>
    <t>3.36K</t>
  </si>
  <si>
    <t>1.16K</t>
  </si>
  <si>
    <t>0.71K</t>
  </si>
  <si>
    <t>2.41K</t>
  </si>
  <si>
    <t>0.22K</t>
  </si>
  <si>
    <t>2.14K</t>
  </si>
  <si>
    <t>1.59K</t>
  </si>
  <si>
    <t>0.81K</t>
  </si>
  <si>
    <t>1.24K</t>
  </si>
  <si>
    <t>0.73K</t>
  </si>
  <si>
    <t>1.14K</t>
  </si>
  <si>
    <t>1.22K</t>
  </si>
  <si>
    <t>0.45K</t>
  </si>
  <si>
    <t>2.28K</t>
  </si>
  <si>
    <t>0.57K</t>
  </si>
  <si>
    <t>2.47K</t>
  </si>
  <si>
    <t>4.62K</t>
  </si>
  <si>
    <t>4.32K</t>
  </si>
  <si>
    <t>3.16K</t>
  </si>
  <si>
    <t>5.50K</t>
  </si>
  <si>
    <t>3.39K</t>
  </si>
  <si>
    <t>4.86K</t>
  </si>
  <si>
    <t>0.19K</t>
  </si>
  <si>
    <t>0.99K</t>
  </si>
  <si>
    <t>1.23K</t>
  </si>
  <si>
    <t>0.84K</t>
  </si>
  <si>
    <t>1.17K</t>
  </si>
  <si>
    <t>4.74K</t>
  </si>
  <si>
    <t>2.71K</t>
  </si>
  <si>
    <t>Change %</t>
  </si>
  <si>
    <t>8.08K</t>
  </si>
  <si>
    <t>3.55K</t>
  </si>
  <si>
    <t>3.83K</t>
  </si>
  <si>
    <t>2.46K</t>
  </si>
  <si>
    <t>2.36K</t>
  </si>
  <si>
    <t>1.66K</t>
  </si>
  <si>
    <t>5.00K</t>
  </si>
  <si>
    <t>2.38K</t>
  </si>
  <si>
    <t>0.34K</t>
  </si>
  <si>
    <t>2.62K</t>
  </si>
  <si>
    <t>1.41K</t>
  </si>
  <si>
    <t>0.33K</t>
  </si>
  <si>
    <t>9.27K</t>
  </si>
  <si>
    <t>1.52K</t>
  </si>
  <si>
    <t>3.25K</t>
  </si>
  <si>
    <t>2.50K</t>
  </si>
  <si>
    <t>4.23K</t>
  </si>
  <si>
    <t>2.72K</t>
  </si>
  <si>
    <t>2.73K</t>
  </si>
  <si>
    <t>4.93K</t>
  </si>
  <si>
    <t>2.01K</t>
  </si>
  <si>
    <t>5.16K</t>
  </si>
  <si>
    <t>4.97K</t>
  </si>
  <si>
    <t>2.27K</t>
  </si>
  <si>
    <t>4.22K</t>
  </si>
  <si>
    <t>4.46K</t>
  </si>
  <si>
    <t>1.29K</t>
  </si>
  <si>
    <t>5.14K</t>
  </si>
  <si>
    <t>1.47K</t>
  </si>
  <si>
    <t>5.13K</t>
  </si>
  <si>
    <t>7.52K</t>
  </si>
  <si>
    <t>1.65K</t>
  </si>
  <si>
    <t>3.21K</t>
  </si>
  <si>
    <t>2.13K</t>
  </si>
  <si>
    <t>3.03K</t>
  </si>
  <si>
    <t>5.22K</t>
  </si>
  <si>
    <t>1.95K</t>
  </si>
  <si>
    <t>3.22K</t>
  </si>
  <si>
    <t>0.72K</t>
  </si>
  <si>
    <t>2.68K</t>
  </si>
  <si>
    <t>1.68K</t>
  </si>
  <si>
    <t>4.10K</t>
  </si>
  <si>
    <t>3.85K</t>
  </si>
  <si>
    <t>1.84K</t>
  </si>
  <si>
    <t>1.99K</t>
  </si>
  <si>
    <t>2.75K</t>
  </si>
  <si>
    <t>0.86K</t>
  </si>
  <si>
    <t>2.40K</t>
  </si>
  <si>
    <t>3.14K</t>
  </si>
  <si>
    <t>2.98K</t>
  </si>
  <si>
    <t>3.60K</t>
  </si>
  <si>
    <t>5.67K</t>
  </si>
  <si>
    <t>3.38K</t>
  </si>
  <si>
    <t>1.81K</t>
  </si>
  <si>
    <t>7.22K</t>
  </si>
  <si>
    <t>1.92K</t>
  </si>
  <si>
    <t>2.97K</t>
  </si>
  <si>
    <t>1.97K</t>
  </si>
  <si>
    <t>1.67K</t>
  </si>
  <si>
    <t>7.02K</t>
  </si>
  <si>
    <t>1.38K</t>
  </si>
  <si>
    <t>3.06K</t>
  </si>
  <si>
    <t>1.93K</t>
  </si>
  <si>
    <t>2.06K</t>
  </si>
  <si>
    <t>1.78K</t>
  </si>
  <si>
    <t>40.20K</t>
  </si>
  <si>
    <t>1.48K</t>
  </si>
  <si>
    <t>3.81K</t>
  </si>
  <si>
    <t>3.15K</t>
  </si>
  <si>
    <t>2.93K</t>
  </si>
  <si>
    <t>3.96K</t>
  </si>
  <si>
    <t>3.67K</t>
  </si>
  <si>
    <t>4.16K</t>
  </si>
  <si>
    <t>3.45K</t>
  </si>
  <si>
    <t>2.37K</t>
  </si>
  <si>
    <t>0.91K</t>
  </si>
  <si>
    <t>10.17K</t>
  </si>
  <si>
    <t>0.88K</t>
  </si>
  <si>
    <t>0.24K</t>
  </si>
  <si>
    <t>4.17K</t>
  </si>
  <si>
    <t>0.48K</t>
  </si>
  <si>
    <t>0.38K</t>
  </si>
  <si>
    <t>29.07K</t>
  </si>
  <si>
    <t>0.12K</t>
  </si>
  <si>
    <t>0.98K</t>
  </si>
  <si>
    <t>9.47K</t>
  </si>
  <si>
    <t>2.23K</t>
  </si>
  <si>
    <t>8.81K</t>
  </si>
  <si>
    <t>4.81K</t>
  </si>
  <si>
    <t>6.25K</t>
  </si>
  <si>
    <t>1.88K</t>
  </si>
  <si>
    <t>1.80K</t>
  </si>
  <si>
    <t>5.89K</t>
  </si>
  <si>
    <t>3.17K</t>
  </si>
  <si>
    <t>13.89K</t>
  </si>
  <si>
    <t>5.51K</t>
  </si>
  <si>
    <t>0.53K</t>
  </si>
  <si>
    <t>2.54K</t>
  </si>
  <si>
    <t>3.57K</t>
  </si>
  <si>
    <t>5.82K</t>
  </si>
  <si>
    <t>6.20K</t>
  </si>
  <si>
    <t>2.85K</t>
  </si>
  <si>
    <t>2.34K</t>
  </si>
  <si>
    <t>3.65K</t>
  </si>
  <si>
    <t>8.36K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</si>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</sst>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6" formatCode="_(* #,##0.0000_);_(* \(#,##0.00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43" fontId="0" fillId="0" borderId="0" xfId="1" applyFont="1"/>
    <xf numFmtId="164" fontId="0" fillId="0" borderId="0" xfId="2" applyNumberFormat="1" applyFont="1"/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164" fontId="2" fillId="2" borderId="1" xfId="2" applyNumberFormat="1" applyFont="1" applyFill="1" applyBorder="1" applyAlignment="1">
      <alignment horizontal="center"/>
    </xf>
    <xf numFmtId="10" fontId="0" fillId="0" borderId="0" xfId="0" applyNumberFormat="1"/>
    <xf numFmtId="166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ichStyles" Target="richData/rich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Array" Target="richData/rdarray.xml"/><Relationship Id="rId5" Type="http://schemas.openxmlformats.org/officeDocument/2006/relationships/theme" Target="theme/theme1.xml"/><Relationship Id="rId15" Type="http://schemas.microsoft.com/office/2017/06/relationships/rdRichValueTypes" Target="richData/rdRichValueTypes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Relationship Id="rId14" Type="http://schemas.microsoft.com/office/2017/06/relationships/rdSupportingPropertyBag" Target="richData/rdsupporting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Stocks'!$I$1</c:f>
              <c:strCache>
                <c:ptCount val="1"/>
                <c:pt idx="0">
                  <c:v>Cum Daily Returns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 Stocks'!$A$2:$A$216</c:f>
              <c:numCache>
                <c:formatCode>m/d/yyyy</c:formatCode>
                <c:ptCount val="215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</c:numCache>
            </c:numRef>
          </c:cat>
          <c:val>
            <c:numRef>
              <c:f>'US Stocks'!$I$2:$I$216</c:f>
              <c:numCache>
                <c:formatCode>0.0%</c:formatCode>
                <c:ptCount val="215"/>
                <c:pt idx="0">
                  <c:v>0</c:v>
                </c:pt>
                <c:pt idx="1">
                  <c:v>1.2321542238792338E-2</c:v>
                </c:pt>
                <c:pt idx="2">
                  <c:v>1.2412476129853633E-2</c:v>
                </c:pt>
                <c:pt idx="3">
                  <c:v>1.8277712103300869E-2</c:v>
                </c:pt>
                <c:pt idx="4">
                  <c:v>1.4731290351914117E-2</c:v>
                </c:pt>
                <c:pt idx="5">
                  <c:v>-8.6387196508141972E-4</c:v>
                </c:pt>
                <c:pt idx="6">
                  <c:v>-1.1548604164772214E-2</c:v>
                </c:pt>
                <c:pt idx="7">
                  <c:v>-9.9572610712012066E-3</c:v>
                </c:pt>
                <c:pt idx="8">
                  <c:v>4.0920250977549699E-4</c:v>
                </c:pt>
                <c:pt idx="9">
                  <c:v>1.2367009184323097E-2</c:v>
                </c:pt>
                <c:pt idx="10">
                  <c:v>2.2051468582340528E-2</c:v>
                </c:pt>
                <c:pt idx="11">
                  <c:v>1.9641720469218749E-2</c:v>
                </c:pt>
                <c:pt idx="12">
                  <c:v>1.5095025916158855E-2</c:v>
                </c:pt>
                <c:pt idx="13">
                  <c:v>2.7734836773665617E-2</c:v>
                </c:pt>
                <c:pt idx="14">
                  <c:v>2.2096935527871286E-2</c:v>
                </c:pt>
                <c:pt idx="15">
                  <c:v>1.9050650177321105E-2</c:v>
                </c:pt>
                <c:pt idx="16">
                  <c:v>2.6007092843502777E-2</c:v>
                </c:pt>
                <c:pt idx="17">
                  <c:v>3.9510775666090847E-2</c:v>
                </c:pt>
                <c:pt idx="18">
                  <c:v>0.17427480221878677</c:v>
                </c:pt>
                <c:pt idx="19">
                  <c:v>0.16258979721742284</c:v>
                </c:pt>
                <c:pt idx="20">
                  <c:v>0.18545967081931436</c:v>
                </c:pt>
                <c:pt idx="21">
                  <c:v>0.20241884150222789</c:v>
                </c:pt>
                <c:pt idx="22">
                  <c:v>0.19714467582067852</c:v>
                </c:pt>
                <c:pt idx="23">
                  <c:v>0.15231426752750754</c:v>
                </c:pt>
                <c:pt idx="24">
                  <c:v>0.14731290351914161</c:v>
                </c:pt>
                <c:pt idx="25">
                  <c:v>0.13335455124124773</c:v>
                </c:pt>
                <c:pt idx="26">
                  <c:v>0.15804310266436294</c:v>
                </c:pt>
                <c:pt idx="27">
                  <c:v>0.16308993361825963</c:v>
                </c:pt>
                <c:pt idx="28">
                  <c:v>0.17845776120760215</c:v>
                </c:pt>
                <c:pt idx="29">
                  <c:v>0.18796035282349721</c:v>
                </c:pt>
                <c:pt idx="30">
                  <c:v>0.19609893607347462</c:v>
                </c:pt>
                <c:pt idx="31">
                  <c:v>0.20178230426479948</c:v>
                </c:pt>
                <c:pt idx="32">
                  <c:v>0.20369191597708469</c:v>
                </c:pt>
                <c:pt idx="33">
                  <c:v>0.1888696917341095</c:v>
                </c:pt>
                <c:pt idx="34">
                  <c:v>0.19064290260980266</c:v>
                </c:pt>
                <c:pt idx="35">
                  <c:v>0.17191052105119575</c:v>
                </c:pt>
                <c:pt idx="36">
                  <c:v>0.16322633445485124</c:v>
                </c:pt>
                <c:pt idx="37">
                  <c:v>0.15135946167136494</c:v>
                </c:pt>
                <c:pt idx="38">
                  <c:v>0.14776757297444765</c:v>
                </c:pt>
                <c:pt idx="39">
                  <c:v>0.13753751023006267</c:v>
                </c:pt>
                <c:pt idx="40">
                  <c:v>0.15126852778030386</c:v>
                </c:pt>
                <c:pt idx="41">
                  <c:v>0.14281167591161226</c:v>
                </c:pt>
                <c:pt idx="42">
                  <c:v>0.13071746840047282</c:v>
                </c:pt>
                <c:pt idx="43">
                  <c:v>0.18914249340729294</c:v>
                </c:pt>
                <c:pt idx="44">
                  <c:v>0.1680458306810948</c:v>
                </c:pt>
                <c:pt idx="45">
                  <c:v>0.13189960898426834</c:v>
                </c:pt>
                <c:pt idx="46">
                  <c:v>0.13499136128034928</c:v>
                </c:pt>
                <c:pt idx="47">
                  <c:v>0.11757752114212972</c:v>
                </c:pt>
                <c:pt idx="48">
                  <c:v>0.12917159225243258</c:v>
                </c:pt>
                <c:pt idx="49">
                  <c:v>0.15017732108756943</c:v>
                </c:pt>
                <c:pt idx="50">
                  <c:v>0.12280621987814855</c:v>
                </c:pt>
                <c:pt idx="51">
                  <c:v>0.14708556879148849</c:v>
                </c:pt>
                <c:pt idx="52">
                  <c:v>0.10630171865054105</c:v>
                </c:pt>
                <c:pt idx="53">
                  <c:v>0.10880240065472413</c:v>
                </c:pt>
                <c:pt idx="54">
                  <c:v>0.12962626170773839</c:v>
                </c:pt>
                <c:pt idx="55">
                  <c:v>0.13621896880967532</c:v>
                </c:pt>
                <c:pt idx="56">
                  <c:v>0.13821951441302183</c:v>
                </c:pt>
                <c:pt idx="57">
                  <c:v>0.11944166590888439</c:v>
                </c:pt>
                <c:pt idx="58">
                  <c:v>0.10939347094662177</c:v>
                </c:pt>
                <c:pt idx="59">
                  <c:v>0.13058106756388099</c:v>
                </c:pt>
                <c:pt idx="60">
                  <c:v>0.13821951441302183</c:v>
                </c:pt>
                <c:pt idx="61">
                  <c:v>0.13658270437392006</c:v>
                </c:pt>
                <c:pt idx="62">
                  <c:v>0.10707465672456129</c:v>
                </c:pt>
                <c:pt idx="63">
                  <c:v>3.4282076930071792E-2</c:v>
                </c:pt>
                <c:pt idx="64">
                  <c:v>2.6552696189869884E-2</c:v>
                </c:pt>
                <c:pt idx="65">
                  <c:v>4.9558970628353904E-3</c:v>
                </c:pt>
                <c:pt idx="66">
                  <c:v>6.9882695280531149E-2</c:v>
                </c:pt>
                <c:pt idx="67">
                  <c:v>4.3693734654906002E-2</c:v>
                </c:pt>
                <c:pt idx="68">
                  <c:v>7.0655633354551162E-2</c:v>
                </c:pt>
                <c:pt idx="69">
                  <c:v>8.6932799854505749E-2</c:v>
                </c:pt>
                <c:pt idx="70">
                  <c:v>9.4389378921523992E-2</c:v>
                </c:pt>
                <c:pt idx="71">
                  <c:v>8.4704919523506339E-2</c:v>
                </c:pt>
                <c:pt idx="72">
                  <c:v>8.5796126216240776E-2</c:v>
                </c:pt>
                <c:pt idx="73">
                  <c:v>7.4020187323815545E-2</c:v>
                </c:pt>
                <c:pt idx="74">
                  <c:v>9.529871783213606E-2</c:v>
                </c:pt>
                <c:pt idx="75">
                  <c:v>0.11612257888515054</c:v>
                </c:pt>
                <c:pt idx="76">
                  <c:v>4.2693461853232861E-2</c:v>
                </c:pt>
                <c:pt idx="77">
                  <c:v>5.669728107665728E-2</c:v>
                </c:pt>
                <c:pt idx="78">
                  <c:v>7.374738565063188E-2</c:v>
                </c:pt>
                <c:pt idx="79">
                  <c:v>8.8433209057015461E-2</c:v>
                </c:pt>
                <c:pt idx="80">
                  <c:v>9.9481676820951215E-2</c:v>
                </c:pt>
                <c:pt idx="81">
                  <c:v>8.9660816586341729E-2</c:v>
                </c:pt>
                <c:pt idx="82">
                  <c:v>0.11644084750386474</c:v>
                </c:pt>
                <c:pt idx="83">
                  <c:v>0.13294534873147223</c:v>
                </c:pt>
                <c:pt idx="84">
                  <c:v>0.13267254705828857</c:v>
                </c:pt>
                <c:pt idx="85">
                  <c:v>0.15199599890879334</c:v>
                </c:pt>
                <c:pt idx="86">
                  <c:v>0.15549695371464933</c:v>
                </c:pt>
                <c:pt idx="87">
                  <c:v>0.13303628262253331</c:v>
                </c:pt>
                <c:pt idx="88">
                  <c:v>0.15345094116577251</c:v>
                </c:pt>
                <c:pt idx="89">
                  <c:v>0.17572974447576595</c:v>
                </c:pt>
                <c:pt idx="90">
                  <c:v>0.17222878966990995</c:v>
                </c:pt>
                <c:pt idx="91">
                  <c:v>0.21251250341002104</c:v>
                </c:pt>
                <c:pt idx="92">
                  <c:v>0.21287623897426577</c:v>
                </c:pt>
                <c:pt idx="93">
                  <c:v>0.22037828498681478</c:v>
                </c:pt>
                <c:pt idx="94">
                  <c:v>0.21374011093934708</c:v>
                </c:pt>
                <c:pt idx="95">
                  <c:v>0.18609620805674276</c:v>
                </c:pt>
                <c:pt idx="96">
                  <c:v>0.17472947167409303</c:v>
                </c:pt>
                <c:pt idx="97">
                  <c:v>0.17591161225788854</c:v>
                </c:pt>
                <c:pt idx="98">
                  <c:v>0.19682640720196432</c:v>
                </c:pt>
                <c:pt idx="99">
                  <c:v>0.18323179048831495</c:v>
                </c:pt>
                <c:pt idx="100">
                  <c:v>0.1761844139310722</c:v>
                </c:pt>
                <c:pt idx="101">
                  <c:v>0.17786669091570428</c:v>
                </c:pt>
                <c:pt idx="102">
                  <c:v>0.19987269255251428</c:v>
                </c:pt>
                <c:pt idx="103">
                  <c:v>0.20578339547149227</c:v>
                </c:pt>
                <c:pt idx="104">
                  <c:v>0.20723833772847122</c:v>
                </c:pt>
                <c:pt idx="105">
                  <c:v>0.21333090842957181</c:v>
                </c:pt>
                <c:pt idx="106">
                  <c:v>0.22246976448122213</c:v>
                </c:pt>
                <c:pt idx="107">
                  <c:v>0.23706465399654442</c:v>
                </c:pt>
                <c:pt idx="108">
                  <c:v>0.25597890333727391</c:v>
                </c:pt>
                <c:pt idx="109">
                  <c:v>0.27998545057743018</c:v>
                </c:pt>
                <c:pt idx="110">
                  <c:v>0.27775757024643077</c:v>
                </c:pt>
                <c:pt idx="111">
                  <c:v>0.26043466399927273</c:v>
                </c:pt>
                <c:pt idx="112">
                  <c:v>0.28139492588887882</c:v>
                </c:pt>
                <c:pt idx="113">
                  <c:v>0.28694189324361186</c:v>
                </c:pt>
                <c:pt idx="114">
                  <c:v>0.28766936437210133</c:v>
                </c:pt>
                <c:pt idx="115">
                  <c:v>0.27748476857324733</c:v>
                </c:pt>
                <c:pt idx="116">
                  <c:v>0.31481313085386931</c:v>
                </c:pt>
                <c:pt idx="117">
                  <c:v>0.33577339274347562</c:v>
                </c:pt>
                <c:pt idx="118">
                  <c:v>0.32336091661362198</c:v>
                </c:pt>
                <c:pt idx="119">
                  <c:v>0.32731654087478401</c:v>
                </c:pt>
                <c:pt idx="120">
                  <c:v>0.31717741202146033</c:v>
                </c:pt>
                <c:pt idx="121">
                  <c:v>0.34027462035100475</c:v>
                </c:pt>
                <c:pt idx="122">
                  <c:v>0.32399745385105017</c:v>
                </c:pt>
                <c:pt idx="123">
                  <c:v>0.30785668818768741</c:v>
                </c:pt>
                <c:pt idx="124">
                  <c:v>0.3274984086569066</c:v>
                </c:pt>
                <c:pt idx="125">
                  <c:v>0.32977175593343655</c:v>
                </c:pt>
                <c:pt idx="126">
                  <c:v>0.32045103209966364</c:v>
                </c:pt>
                <c:pt idx="127">
                  <c:v>0.31917795762480661</c:v>
                </c:pt>
                <c:pt idx="128">
                  <c:v>0.30685641538601449</c:v>
                </c:pt>
                <c:pt idx="129">
                  <c:v>0.28939710830226417</c:v>
                </c:pt>
                <c:pt idx="130">
                  <c:v>0.29030644721287624</c:v>
                </c:pt>
                <c:pt idx="131">
                  <c:v>0.28535055015004085</c:v>
                </c:pt>
                <c:pt idx="132">
                  <c:v>0.28180412839865432</c:v>
                </c:pt>
                <c:pt idx="133">
                  <c:v>0.28216786396289906</c:v>
                </c:pt>
                <c:pt idx="134">
                  <c:v>0.29976357188324099</c:v>
                </c:pt>
                <c:pt idx="135">
                  <c:v>0.29448940620169139</c:v>
                </c:pt>
                <c:pt idx="136">
                  <c:v>0.28198599618077647</c:v>
                </c:pt>
                <c:pt idx="137">
                  <c:v>0.28221333090842959</c:v>
                </c:pt>
                <c:pt idx="138">
                  <c:v>0.18445939801764122</c:v>
                </c:pt>
                <c:pt idx="139">
                  <c:v>0.18086750932072393</c:v>
                </c:pt>
                <c:pt idx="140">
                  <c:v>0.1967354733109028</c:v>
                </c:pt>
                <c:pt idx="141">
                  <c:v>0.19309811766845519</c:v>
                </c:pt>
                <c:pt idx="142">
                  <c:v>0.18332272437937625</c:v>
                </c:pt>
                <c:pt idx="143">
                  <c:v>0.1509957261071202</c:v>
                </c:pt>
                <c:pt idx="144">
                  <c:v>0.13690097299263448</c:v>
                </c:pt>
                <c:pt idx="145">
                  <c:v>0.14567609348004007</c:v>
                </c:pt>
                <c:pt idx="146">
                  <c:v>0.13971992361553154</c:v>
                </c:pt>
                <c:pt idx="147">
                  <c:v>0.14704010184595795</c:v>
                </c:pt>
                <c:pt idx="148">
                  <c:v>0.13740110939347083</c:v>
                </c:pt>
                <c:pt idx="149">
                  <c:v>0.10152768936982826</c:v>
                </c:pt>
                <c:pt idx="150">
                  <c:v>7.4383922888060505E-2</c:v>
                </c:pt>
                <c:pt idx="151">
                  <c:v>6.7427480221878833E-2</c:v>
                </c:pt>
                <c:pt idx="152">
                  <c:v>9.1524961353096179E-2</c:v>
                </c:pt>
                <c:pt idx="153">
                  <c:v>7.806674547603909E-2</c:v>
                </c:pt>
                <c:pt idx="154">
                  <c:v>8.9933618259525394E-2</c:v>
                </c:pt>
                <c:pt idx="155">
                  <c:v>8.8706010730199125E-2</c:v>
                </c:pt>
                <c:pt idx="156">
                  <c:v>9.7026461762298899E-2</c:v>
                </c:pt>
                <c:pt idx="157">
                  <c:v>0.10280076384468506</c:v>
                </c:pt>
                <c:pt idx="158">
                  <c:v>8.8478676002546219E-2</c:v>
                </c:pt>
                <c:pt idx="159">
                  <c:v>0.10070928435027748</c:v>
                </c:pt>
                <c:pt idx="160">
                  <c:v>8.8615076839138052E-2</c:v>
                </c:pt>
                <c:pt idx="161">
                  <c:v>0.1031644994089298</c:v>
                </c:pt>
                <c:pt idx="162">
                  <c:v>0.11321269437119219</c:v>
                </c:pt>
                <c:pt idx="163">
                  <c:v>0.11725925252341551</c:v>
                </c:pt>
                <c:pt idx="164">
                  <c:v>0.10707465672456129</c:v>
                </c:pt>
                <c:pt idx="165">
                  <c:v>9.802673456397204E-2</c:v>
                </c:pt>
                <c:pt idx="166">
                  <c:v>0.10984814040192781</c:v>
                </c:pt>
                <c:pt idx="167">
                  <c:v>0.12385195962535245</c:v>
                </c:pt>
                <c:pt idx="168">
                  <c:v>0.12998999727198335</c:v>
                </c:pt>
                <c:pt idx="169">
                  <c:v>0.16436300809311621</c:v>
                </c:pt>
                <c:pt idx="170">
                  <c:v>0.17809402564335741</c:v>
                </c:pt>
                <c:pt idx="171">
                  <c:v>0.16795489679003373</c:v>
                </c:pt>
                <c:pt idx="172">
                  <c:v>0.16854596708193137</c:v>
                </c:pt>
                <c:pt idx="173">
                  <c:v>0.15231426752750754</c:v>
                </c:pt>
                <c:pt idx="174">
                  <c:v>0.16504501227607538</c:v>
                </c:pt>
                <c:pt idx="175">
                  <c:v>0.17086478130399185</c:v>
                </c:pt>
                <c:pt idx="176">
                  <c:v>0.17795762480676536</c:v>
                </c:pt>
                <c:pt idx="177">
                  <c:v>0.2048740565608802</c:v>
                </c:pt>
                <c:pt idx="178">
                  <c:v>0.21123942893516401</c:v>
                </c:pt>
                <c:pt idx="179">
                  <c:v>0.23383650086387209</c:v>
                </c:pt>
                <c:pt idx="180">
                  <c:v>0.23779212512503412</c:v>
                </c:pt>
                <c:pt idx="181">
                  <c:v>0.21637719378012177</c:v>
                </c:pt>
                <c:pt idx="182">
                  <c:v>0.27962171501318545</c:v>
                </c:pt>
                <c:pt idx="183">
                  <c:v>0.29267072838046748</c:v>
                </c:pt>
                <c:pt idx="184">
                  <c:v>0.2721651359461672</c:v>
                </c:pt>
                <c:pt idx="185">
                  <c:v>0.28289533509138876</c:v>
                </c:pt>
                <c:pt idx="186">
                  <c:v>0.30258252250613804</c:v>
                </c:pt>
                <c:pt idx="187">
                  <c:v>0.30362826225334194</c:v>
                </c:pt>
                <c:pt idx="188">
                  <c:v>0.31113030826589072</c:v>
                </c:pt>
                <c:pt idx="189">
                  <c:v>0.31590433754660374</c:v>
                </c:pt>
                <c:pt idx="190">
                  <c:v>0.33613712830772036</c:v>
                </c:pt>
                <c:pt idx="191">
                  <c:v>0.31608620532872589</c:v>
                </c:pt>
                <c:pt idx="192">
                  <c:v>0.31049377102846232</c:v>
                </c:pt>
                <c:pt idx="193">
                  <c:v>0.26316268073110849</c:v>
                </c:pt>
                <c:pt idx="194">
                  <c:v>0.26043466399927273</c:v>
                </c:pt>
                <c:pt idx="195">
                  <c:v>0.25556970082749841</c:v>
                </c:pt>
                <c:pt idx="196">
                  <c:v>0.27648449577157397</c:v>
                </c:pt>
                <c:pt idx="197">
                  <c:v>0.25475129580794786</c:v>
                </c:pt>
                <c:pt idx="198">
                  <c:v>0.27889424388469575</c:v>
                </c:pt>
                <c:pt idx="199">
                  <c:v>0.28966990997544784</c:v>
                </c:pt>
                <c:pt idx="200">
                  <c:v>0.28239519869055196</c:v>
                </c:pt>
                <c:pt idx="201">
                  <c:v>0.30722015095025923</c:v>
                </c:pt>
                <c:pt idx="202">
                  <c:v>0.29580794762207874</c:v>
                </c:pt>
                <c:pt idx="203">
                  <c:v>0.39792670728380464</c:v>
                </c:pt>
                <c:pt idx="204">
                  <c:v>0.42352459761753192</c:v>
                </c:pt>
                <c:pt idx="205">
                  <c:v>0.4211603164499409</c:v>
                </c:pt>
                <c:pt idx="206">
                  <c:v>0.40133672819859956</c:v>
                </c:pt>
                <c:pt idx="207">
                  <c:v>0.4097481131217604</c:v>
                </c:pt>
                <c:pt idx="208">
                  <c:v>0.39769937255615173</c:v>
                </c:pt>
                <c:pt idx="209">
                  <c:v>0.38551423115395123</c:v>
                </c:pt>
                <c:pt idx="210">
                  <c:v>0.36787305628807876</c:v>
                </c:pt>
                <c:pt idx="211">
                  <c:v>0.39478948804219316</c:v>
                </c:pt>
                <c:pt idx="212">
                  <c:v>0.42047831226698196</c:v>
                </c:pt>
                <c:pt idx="213">
                  <c:v>0.39301627716650001</c:v>
                </c:pt>
                <c:pt idx="214">
                  <c:v>0.40551968718741471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6-4C4E-9757-A2C262C1B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566719"/>
        <c:axId val="1265567199"/>
      </c:lineChart>
      <c:dateAx>
        <c:axId val="12655667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67199"/>
        <c:crosses val="autoZero"/>
        <c:auto val="1"/>
        <c:lblOffset val="100"/>
        <c:baseTimeUnit val="days"/>
      </c:dateAx>
      <c:valAx>
        <c:axId val="126556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6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 Day Movinng</a:t>
            </a:r>
            <a:r>
              <a:rPr lang="en-US" baseline="0"/>
              <a:t> Average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Stocks'!$B$1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 Stocks'!$A$2:$A$216</c:f>
              <c:numCache>
                <c:formatCode>m/d/yyyy</c:formatCode>
                <c:ptCount val="215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</c:numCache>
            </c:numRef>
          </c:cat>
          <c:val>
            <c:numRef>
              <c:f>'US Stocks'!$B$2:$B$216</c:f>
              <c:numCache>
                <c:formatCode>_([$$-409]* #,##0.00_);_([$$-409]* \(#,##0.00\);_([$$-409]* "-"??_);_(@_)</c:formatCode>
                <c:ptCount val="215"/>
                <c:pt idx="0">
                  <c:v>219.94</c:v>
                </c:pt>
                <c:pt idx="1">
                  <c:v>222.65</c:v>
                </c:pt>
                <c:pt idx="2">
                  <c:v>222.67</c:v>
                </c:pt>
                <c:pt idx="3">
                  <c:v>223.96</c:v>
                </c:pt>
                <c:pt idx="4">
                  <c:v>223.18</c:v>
                </c:pt>
                <c:pt idx="5">
                  <c:v>219.75</c:v>
                </c:pt>
                <c:pt idx="6">
                  <c:v>217.4</c:v>
                </c:pt>
                <c:pt idx="7">
                  <c:v>217.75</c:v>
                </c:pt>
                <c:pt idx="8">
                  <c:v>220.03</c:v>
                </c:pt>
                <c:pt idx="9">
                  <c:v>222.66</c:v>
                </c:pt>
                <c:pt idx="10">
                  <c:v>224.79</c:v>
                </c:pt>
                <c:pt idx="11">
                  <c:v>224.26</c:v>
                </c:pt>
                <c:pt idx="12">
                  <c:v>223.26</c:v>
                </c:pt>
                <c:pt idx="13">
                  <c:v>226.04</c:v>
                </c:pt>
                <c:pt idx="14">
                  <c:v>224.8</c:v>
                </c:pt>
                <c:pt idx="15">
                  <c:v>224.13</c:v>
                </c:pt>
                <c:pt idx="16">
                  <c:v>225.66</c:v>
                </c:pt>
                <c:pt idx="17">
                  <c:v>228.63</c:v>
                </c:pt>
                <c:pt idx="18">
                  <c:v>258.27</c:v>
                </c:pt>
                <c:pt idx="19">
                  <c:v>255.7</c:v>
                </c:pt>
                <c:pt idx="20">
                  <c:v>260.73</c:v>
                </c:pt>
                <c:pt idx="21">
                  <c:v>264.45999999999998</c:v>
                </c:pt>
                <c:pt idx="22">
                  <c:v>263.3</c:v>
                </c:pt>
                <c:pt idx="23">
                  <c:v>253.44</c:v>
                </c:pt>
                <c:pt idx="24">
                  <c:v>252.34</c:v>
                </c:pt>
                <c:pt idx="25">
                  <c:v>249.27</c:v>
                </c:pt>
                <c:pt idx="26">
                  <c:v>254.7</c:v>
                </c:pt>
                <c:pt idx="27">
                  <c:v>255.81</c:v>
                </c:pt>
                <c:pt idx="28">
                  <c:v>259.19</c:v>
                </c:pt>
                <c:pt idx="29">
                  <c:v>261.27999999999997</c:v>
                </c:pt>
                <c:pt idx="30">
                  <c:v>263.07</c:v>
                </c:pt>
                <c:pt idx="31">
                  <c:v>264.32</c:v>
                </c:pt>
                <c:pt idx="32">
                  <c:v>264.74</c:v>
                </c:pt>
                <c:pt idx="33">
                  <c:v>261.48</c:v>
                </c:pt>
                <c:pt idx="34">
                  <c:v>261.87</c:v>
                </c:pt>
                <c:pt idx="35">
                  <c:v>257.75</c:v>
                </c:pt>
                <c:pt idx="36">
                  <c:v>255.84</c:v>
                </c:pt>
                <c:pt idx="37">
                  <c:v>253.23</c:v>
                </c:pt>
                <c:pt idx="38">
                  <c:v>252.44</c:v>
                </c:pt>
                <c:pt idx="39">
                  <c:v>250.19</c:v>
                </c:pt>
                <c:pt idx="40">
                  <c:v>253.21</c:v>
                </c:pt>
                <c:pt idx="41">
                  <c:v>251.35</c:v>
                </c:pt>
                <c:pt idx="42">
                  <c:v>248.69</c:v>
                </c:pt>
                <c:pt idx="43">
                  <c:v>261.54000000000002</c:v>
                </c:pt>
                <c:pt idx="44">
                  <c:v>256.89999999999998</c:v>
                </c:pt>
                <c:pt idx="45">
                  <c:v>248.95</c:v>
                </c:pt>
                <c:pt idx="46">
                  <c:v>249.63</c:v>
                </c:pt>
                <c:pt idx="47">
                  <c:v>245.8</c:v>
                </c:pt>
                <c:pt idx="48">
                  <c:v>248.35</c:v>
                </c:pt>
                <c:pt idx="49">
                  <c:v>252.97</c:v>
                </c:pt>
                <c:pt idx="50">
                  <c:v>246.95</c:v>
                </c:pt>
                <c:pt idx="51">
                  <c:v>252.29</c:v>
                </c:pt>
                <c:pt idx="52">
                  <c:v>243.32</c:v>
                </c:pt>
                <c:pt idx="53">
                  <c:v>243.87</c:v>
                </c:pt>
                <c:pt idx="54">
                  <c:v>248.45</c:v>
                </c:pt>
                <c:pt idx="55">
                  <c:v>249.9</c:v>
                </c:pt>
                <c:pt idx="56">
                  <c:v>250.34</c:v>
                </c:pt>
                <c:pt idx="57">
                  <c:v>246.21</c:v>
                </c:pt>
                <c:pt idx="58">
                  <c:v>244</c:v>
                </c:pt>
                <c:pt idx="59">
                  <c:v>248.66</c:v>
                </c:pt>
                <c:pt idx="60">
                  <c:v>250.34</c:v>
                </c:pt>
                <c:pt idx="61">
                  <c:v>249.98</c:v>
                </c:pt>
                <c:pt idx="62">
                  <c:v>243.49</c:v>
                </c:pt>
                <c:pt idx="63">
                  <c:v>227.48</c:v>
                </c:pt>
                <c:pt idx="64">
                  <c:v>225.78</c:v>
                </c:pt>
                <c:pt idx="65">
                  <c:v>221.03</c:v>
                </c:pt>
                <c:pt idx="66">
                  <c:v>235.31</c:v>
                </c:pt>
                <c:pt idx="67">
                  <c:v>229.55</c:v>
                </c:pt>
                <c:pt idx="68">
                  <c:v>235.48</c:v>
                </c:pt>
                <c:pt idx="69">
                  <c:v>239.06</c:v>
                </c:pt>
                <c:pt idx="70">
                  <c:v>240.7</c:v>
                </c:pt>
                <c:pt idx="71">
                  <c:v>238.57</c:v>
                </c:pt>
                <c:pt idx="72">
                  <c:v>238.81</c:v>
                </c:pt>
                <c:pt idx="73">
                  <c:v>236.22</c:v>
                </c:pt>
                <c:pt idx="74">
                  <c:v>240.9</c:v>
                </c:pt>
                <c:pt idx="75">
                  <c:v>245.48</c:v>
                </c:pt>
                <c:pt idx="76">
                  <c:v>229.33</c:v>
                </c:pt>
                <c:pt idx="77">
                  <c:v>232.41</c:v>
                </c:pt>
                <c:pt idx="78">
                  <c:v>236.16</c:v>
                </c:pt>
                <c:pt idx="79">
                  <c:v>239.39</c:v>
                </c:pt>
                <c:pt idx="80">
                  <c:v>241.82</c:v>
                </c:pt>
                <c:pt idx="81">
                  <c:v>239.66</c:v>
                </c:pt>
                <c:pt idx="82">
                  <c:v>245.55</c:v>
                </c:pt>
                <c:pt idx="83">
                  <c:v>249.18</c:v>
                </c:pt>
                <c:pt idx="84">
                  <c:v>249.12</c:v>
                </c:pt>
                <c:pt idx="85">
                  <c:v>253.37</c:v>
                </c:pt>
                <c:pt idx="86">
                  <c:v>254.14</c:v>
                </c:pt>
                <c:pt idx="87">
                  <c:v>249.2</c:v>
                </c:pt>
                <c:pt idx="88">
                  <c:v>253.69</c:v>
                </c:pt>
                <c:pt idx="89">
                  <c:v>258.58999999999997</c:v>
                </c:pt>
                <c:pt idx="90">
                  <c:v>257.82</c:v>
                </c:pt>
                <c:pt idx="91">
                  <c:v>266.68</c:v>
                </c:pt>
                <c:pt idx="92">
                  <c:v>266.76</c:v>
                </c:pt>
                <c:pt idx="93">
                  <c:v>268.41000000000003</c:v>
                </c:pt>
                <c:pt idx="94">
                  <c:v>266.95</c:v>
                </c:pt>
                <c:pt idx="95">
                  <c:v>260.87</c:v>
                </c:pt>
                <c:pt idx="96">
                  <c:v>258.37</c:v>
                </c:pt>
                <c:pt idx="97">
                  <c:v>258.63</c:v>
                </c:pt>
                <c:pt idx="98">
                  <c:v>263.23</c:v>
                </c:pt>
                <c:pt idx="99">
                  <c:v>260.24</c:v>
                </c:pt>
                <c:pt idx="100">
                  <c:v>258.69</c:v>
                </c:pt>
                <c:pt idx="101">
                  <c:v>259.06</c:v>
                </c:pt>
                <c:pt idx="102">
                  <c:v>263.89999999999998</c:v>
                </c:pt>
                <c:pt idx="103">
                  <c:v>265.2</c:v>
                </c:pt>
                <c:pt idx="104">
                  <c:v>265.52</c:v>
                </c:pt>
                <c:pt idx="105">
                  <c:v>266.86</c:v>
                </c:pt>
                <c:pt idx="106">
                  <c:v>268.87</c:v>
                </c:pt>
                <c:pt idx="107">
                  <c:v>272.08</c:v>
                </c:pt>
                <c:pt idx="108">
                  <c:v>276.24</c:v>
                </c:pt>
                <c:pt idx="109">
                  <c:v>281.52</c:v>
                </c:pt>
                <c:pt idx="110">
                  <c:v>281.02999999999997</c:v>
                </c:pt>
                <c:pt idx="111">
                  <c:v>277.22000000000003</c:v>
                </c:pt>
                <c:pt idx="112">
                  <c:v>281.83</c:v>
                </c:pt>
                <c:pt idx="113">
                  <c:v>283.05</c:v>
                </c:pt>
                <c:pt idx="114">
                  <c:v>283.20999999999998</c:v>
                </c:pt>
                <c:pt idx="115">
                  <c:v>280.97000000000003</c:v>
                </c:pt>
                <c:pt idx="116">
                  <c:v>289.18</c:v>
                </c:pt>
                <c:pt idx="117">
                  <c:v>293.79000000000002</c:v>
                </c:pt>
                <c:pt idx="118">
                  <c:v>291.06</c:v>
                </c:pt>
                <c:pt idx="119">
                  <c:v>291.93</c:v>
                </c:pt>
                <c:pt idx="120">
                  <c:v>289.7</c:v>
                </c:pt>
                <c:pt idx="121">
                  <c:v>294.77999999999997</c:v>
                </c:pt>
                <c:pt idx="122">
                  <c:v>291.2</c:v>
                </c:pt>
                <c:pt idx="123">
                  <c:v>287.64999999999998</c:v>
                </c:pt>
                <c:pt idx="124">
                  <c:v>291.97000000000003</c:v>
                </c:pt>
                <c:pt idx="125">
                  <c:v>292.47000000000003</c:v>
                </c:pt>
                <c:pt idx="126">
                  <c:v>290.42</c:v>
                </c:pt>
                <c:pt idx="127">
                  <c:v>290.14</c:v>
                </c:pt>
                <c:pt idx="128">
                  <c:v>287.43</c:v>
                </c:pt>
                <c:pt idx="129">
                  <c:v>283.58999999999997</c:v>
                </c:pt>
                <c:pt idx="130">
                  <c:v>283.79000000000002</c:v>
                </c:pt>
                <c:pt idx="131">
                  <c:v>282.7</c:v>
                </c:pt>
                <c:pt idx="132">
                  <c:v>281.92</c:v>
                </c:pt>
                <c:pt idx="133">
                  <c:v>282</c:v>
                </c:pt>
                <c:pt idx="134">
                  <c:v>285.87</c:v>
                </c:pt>
                <c:pt idx="135">
                  <c:v>284.70999999999998</c:v>
                </c:pt>
                <c:pt idx="136">
                  <c:v>281.95999999999998</c:v>
                </c:pt>
                <c:pt idx="137">
                  <c:v>282.01</c:v>
                </c:pt>
                <c:pt idx="138">
                  <c:v>260.51</c:v>
                </c:pt>
                <c:pt idx="139">
                  <c:v>259.72000000000003</c:v>
                </c:pt>
                <c:pt idx="140">
                  <c:v>263.20999999999998</c:v>
                </c:pt>
                <c:pt idx="141">
                  <c:v>262.41000000000003</c:v>
                </c:pt>
                <c:pt idx="142">
                  <c:v>260.26</c:v>
                </c:pt>
                <c:pt idx="143">
                  <c:v>253.15</c:v>
                </c:pt>
                <c:pt idx="144">
                  <c:v>250.05</c:v>
                </c:pt>
                <c:pt idx="145">
                  <c:v>251.98</c:v>
                </c:pt>
                <c:pt idx="146">
                  <c:v>250.67</c:v>
                </c:pt>
                <c:pt idx="147">
                  <c:v>252.28</c:v>
                </c:pt>
                <c:pt idx="148">
                  <c:v>250.16</c:v>
                </c:pt>
                <c:pt idx="149">
                  <c:v>242.27</c:v>
                </c:pt>
                <c:pt idx="150">
                  <c:v>236.3</c:v>
                </c:pt>
                <c:pt idx="151">
                  <c:v>234.77</c:v>
                </c:pt>
                <c:pt idx="152">
                  <c:v>240.07</c:v>
                </c:pt>
                <c:pt idx="153">
                  <c:v>237.11</c:v>
                </c:pt>
                <c:pt idx="154">
                  <c:v>239.72</c:v>
                </c:pt>
                <c:pt idx="155">
                  <c:v>239.45</c:v>
                </c:pt>
                <c:pt idx="156">
                  <c:v>241.28</c:v>
                </c:pt>
                <c:pt idx="157">
                  <c:v>242.55</c:v>
                </c:pt>
                <c:pt idx="158">
                  <c:v>239.4</c:v>
                </c:pt>
                <c:pt idx="159">
                  <c:v>242.09</c:v>
                </c:pt>
                <c:pt idx="160">
                  <c:v>239.43</c:v>
                </c:pt>
                <c:pt idx="161">
                  <c:v>242.63</c:v>
                </c:pt>
                <c:pt idx="162">
                  <c:v>244.84</c:v>
                </c:pt>
                <c:pt idx="163">
                  <c:v>245.73</c:v>
                </c:pt>
                <c:pt idx="164">
                  <c:v>243.49</c:v>
                </c:pt>
                <c:pt idx="165">
                  <c:v>241.5</c:v>
                </c:pt>
                <c:pt idx="166">
                  <c:v>244.1</c:v>
                </c:pt>
                <c:pt idx="167">
                  <c:v>247.18</c:v>
                </c:pt>
                <c:pt idx="168">
                  <c:v>248.53</c:v>
                </c:pt>
                <c:pt idx="169">
                  <c:v>256.08999999999997</c:v>
                </c:pt>
                <c:pt idx="170">
                  <c:v>259.11</c:v>
                </c:pt>
                <c:pt idx="171">
                  <c:v>256.88</c:v>
                </c:pt>
                <c:pt idx="172">
                  <c:v>257.01</c:v>
                </c:pt>
                <c:pt idx="173">
                  <c:v>253.44</c:v>
                </c:pt>
                <c:pt idx="174">
                  <c:v>256.24</c:v>
                </c:pt>
                <c:pt idx="175">
                  <c:v>257.52</c:v>
                </c:pt>
                <c:pt idx="176">
                  <c:v>259.08</c:v>
                </c:pt>
                <c:pt idx="177">
                  <c:v>265</c:v>
                </c:pt>
                <c:pt idx="178">
                  <c:v>266.39999999999998</c:v>
                </c:pt>
                <c:pt idx="179">
                  <c:v>271.37</c:v>
                </c:pt>
                <c:pt idx="180">
                  <c:v>272.24</c:v>
                </c:pt>
                <c:pt idx="181">
                  <c:v>267.52999999999997</c:v>
                </c:pt>
                <c:pt idx="182">
                  <c:v>281.44</c:v>
                </c:pt>
                <c:pt idx="183">
                  <c:v>284.31</c:v>
                </c:pt>
                <c:pt idx="184">
                  <c:v>279.8</c:v>
                </c:pt>
                <c:pt idx="185">
                  <c:v>282.16000000000003</c:v>
                </c:pt>
                <c:pt idx="186">
                  <c:v>286.49</c:v>
                </c:pt>
                <c:pt idx="187">
                  <c:v>286.72000000000003</c:v>
                </c:pt>
                <c:pt idx="188">
                  <c:v>288.37</c:v>
                </c:pt>
                <c:pt idx="189">
                  <c:v>289.42</c:v>
                </c:pt>
                <c:pt idx="190">
                  <c:v>293.87</c:v>
                </c:pt>
                <c:pt idx="191">
                  <c:v>289.45999999999998</c:v>
                </c:pt>
                <c:pt idx="192">
                  <c:v>288.23</c:v>
                </c:pt>
                <c:pt idx="193">
                  <c:v>277.82</c:v>
                </c:pt>
                <c:pt idx="194">
                  <c:v>277.22000000000003</c:v>
                </c:pt>
                <c:pt idx="195">
                  <c:v>276.14999999999998</c:v>
                </c:pt>
                <c:pt idx="196">
                  <c:v>280.75</c:v>
                </c:pt>
                <c:pt idx="197">
                  <c:v>275.97000000000003</c:v>
                </c:pt>
                <c:pt idx="198">
                  <c:v>281.27999999999997</c:v>
                </c:pt>
                <c:pt idx="199">
                  <c:v>283.64999999999998</c:v>
                </c:pt>
                <c:pt idx="200">
                  <c:v>282.05</c:v>
                </c:pt>
                <c:pt idx="201">
                  <c:v>287.51</c:v>
                </c:pt>
                <c:pt idx="202">
                  <c:v>285</c:v>
                </c:pt>
                <c:pt idx="203">
                  <c:v>307.45999999999998</c:v>
                </c:pt>
                <c:pt idx="204">
                  <c:v>313.08999999999997</c:v>
                </c:pt>
                <c:pt idx="205">
                  <c:v>312.57</c:v>
                </c:pt>
                <c:pt idx="206">
                  <c:v>308.20999999999998</c:v>
                </c:pt>
                <c:pt idx="207">
                  <c:v>310.06</c:v>
                </c:pt>
                <c:pt idx="208">
                  <c:v>307.41000000000003</c:v>
                </c:pt>
                <c:pt idx="209">
                  <c:v>304.73</c:v>
                </c:pt>
                <c:pt idx="210">
                  <c:v>300.85000000000002</c:v>
                </c:pt>
                <c:pt idx="211">
                  <c:v>306.77</c:v>
                </c:pt>
                <c:pt idx="212">
                  <c:v>312.42</c:v>
                </c:pt>
                <c:pt idx="213">
                  <c:v>306.38</c:v>
                </c:pt>
                <c:pt idx="214">
                  <c:v>309.13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95-4250-86C8-269F6ECFB8C0}"/>
            </c:ext>
          </c:extLst>
        </c:ser>
        <c:ser>
          <c:idx val="1"/>
          <c:order val="1"/>
          <c:tx>
            <c:strRef>
              <c:f>'US Stocks'!$H$1</c:f>
              <c:strCache>
                <c:ptCount val="1"/>
                <c:pt idx="0">
                  <c:v> 50 Day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 Stocks'!$A$2:$A$216</c:f>
              <c:numCache>
                <c:formatCode>m/d/yyyy</c:formatCode>
                <c:ptCount val="215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</c:numCache>
            </c:numRef>
          </c:cat>
          <c:val>
            <c:numRef>
              <c:f>'US Stocks'!$H$2:$H$216</c:f>
              <c:numCache>
                <c:formatCode>_(* #,##0.00_);_(* \(#,##0.00\);_(* "-"??_);_(@_)</c:formatCode>
                <c:ptCount val="215"/>
                <c:pt idx="49">
                  <c:v>244.04740000000001</c:v>
                </c:pt>
                <c:pt idx="50">
                  <c:v>244.58760000000007</c:v>
                </c:pt>
                <c:pt idx="51">
                  <c:v>245.18040000000002</c:v>
                </c:pt>
                <c:pt idx="52">
                  <c:v>245.5934</c:v>
                </c:pt>
                <c:pt idx="53">
                  <c:v>245.99160000000003</c:v>
                </c:pt>
                <c:pt idx="54">
                  <c:v>246.49700000000001</c:v>
                </c:pt>
                <c:pt idx="55">
                  <c:v>247.1</c:v>
                </c:pt>
                <c:pt idx="56">
                  <c:v>247.75880000000001</c:v>
                </c:pt>
                <c:pt idx="57">
                  <c:v>248.328</c:v>
                </c:pt>
                <c:pt idx="58">
                  <c:v>248.80740000000003</c:v>
                </c:pt>
                <c:pt idx="59">
                  <c:v>249.32739999999998</c:v>
                </c:pt>
                <c:pt idx="60">
                  <c:v>249.83839999999998</c:v>
                </c:pt>
                <c:pt idx="61">
                  <c:v>250.35279999999995</c:v>
                </c:pt>
                <c:pt idx="62">
                  <c:v>250.75739999999993</c:v>
                </c:pt>
                <c:pt idx="63">
                  <c:v>250.78619999999995</c:v>
                </c:pt>
                <c:pt idx="64">
                  <c:v>250.80579999999998</c:v>
                </c:pt>
                <c:pt idx="65">
                  <c:v>250.74379999999996</c:v>
                </c:pt>
                <c:pt idx="66">
                  <c:v>250.93680000000001</c:v>
                </c:pt>
                <c:pt idx="67">
                  <c:v>250.95519999999999</c:v>
                </c:pt>
                <c:pt idx="68">
                  <c:v>250.49939999999998</c:v>
                </c:pt>
                <c:pt idx="69">
                  <c:v>250.16659999999996</c:v>
                </c:pt>
                <c:pt idx="70">
                  <c:v>249.76599999999996</c:v>
                </c:pt>
                <c:pt idx="71">
                  <c:v>249.24819999999991</c:v>
                </c:pt>
                <c:pt idx="72">
                  <c:v>248.75839999999994</c:v>
                </c:pt>
                <c:pt idx="73">
                  <c:v>248.4139999999999</c:v>
                </c:pt>
                <c:pt idx="74">
                  <c:v>248.18519999999992</c:v>
                </c:pt>
                <c:pt idx="75">
                  <c:v>248.10939999999991</c:v>
                </c:pt>
                <c:pt idx="76">
                  <c:v>247.60199999999995</c:v>
                </c:pt>
                <c:pt idx="77">
                  <c:v>247.1339999999999</c:v>
                </c:pt>
                <c:pt idx="78">
                  <c:v>246.67339999999993</c:v>
                </c:pt>
                <c:pt idx="79">
                  <c:v>246.23559999999989</c:v>
                </c:pt>
                <c:pt idx="80">
                  <c:v>245.81059999999991</c:v>
                </c:pt>
                <c:pt idx="81">
                  <c:v>245.31739999999988</c:v>
                </c:pt>
                <c:pt idx="82">
                  <c:v>244.93359999999987</c:v>
                </c:pt>
                <c:pt idx="83">
                  <c:v>244.68759999999986</c:v>
                </c:pt>
                <c:pt idx="84">
                  <c:v>244.43259999999992</c:v>
                </c:pt>
                <c:pt idx="85">
                  <c:v>244.34499999999991</c:v>
                </c:pt>
                <c:pt idx="86">
                  <c:v>244.31099999999992</c:v>
                </c:pt>
                <c:pt idx="87">
                  <c:v>244.23039999999995</c:v>
                </c:pt>
                <c:pt idx="88">
                  <c:v>244.25539999999992</c:v>
                </c:pt>
                <c:pt idx="89">
                  <c:v>244.42339999999996</c:v>
                </c:pt>
                <c:pt idx="90">
                  <c:v>244.51559999999998</c:v>
                </c:pt>
                <c:pt idx="91">
                  <c:v>244.82219999999998</c:v>
                </c:pt>
                <c:pt idx="92">
                  <c:v>245.18360000000001</c:v>
                </c:pt>
                <c:pt idx="93">
                  <c:v>245.321</c:v>
                </c:pt>
                <c:pt idx="94">
                  <c:v>245.52200000000002</c:v>
                </c:pt>
                <c:pt idx="95">
                  <c:v>245.76040000000003</c:v>
                </c:pt>
                <c:pt idx="96">
                  <c:v>245.93520000000007</c:v>
                </c:pt>
                <c:pt idx="97">
                  <c:v>246.19180000000009</c:v>
                </c:pt>
                <c:pt idx="98">
                  <c:v>246.48940000000005</c:v>
                </c:pt>
                <c:pt idx="99">
                  <c:v>246.63480000000007</c:v>
                </c:pt>
                <c:pt idx="100">
                  <c:v>246.86960000000008</c:v>
                </c:pt>
                <c:pt idx="101">
                  <c:v>247.00500000000002</c:v>
                </c:pt>
                <c:pt idx="102">
                  <c:v>247.41660000000005</c:v>
                </c:pt>
                <c:pt idx="103">
                  <c:v>247.84320000000002</c:v>
                </c:pt>
                <c:pt idx="104">
                  <c:v>248.18460000000002</c:v>
                </c:pt>
                <c:pt idx="105">
                  <c:v>248.52380000000002</c:v>
                </c:pt>
                <c:pt idx="106">
                  <c:v>248.89440000000005</c:v>
                </c:pt>
                <c:pt idx="107">
                  <c:v>249.41180000000003</c:v>
                </c:pt>
                <c:pt idx="108">
                  <c:v>250.05660000000003</c:v>
                </c:pt>
                <c:pt idx="109">
                  <c:v>250.71380000000005</c:v>
                </c:pt>
                <c:pt idx="110">
                  <c:v>251.32760000000005</c:v>
                </c:pt>
                <c:pt idx="111">
                  <c:v>251.87240000000003</c:v>
                </c:pt>
                <c:pt idx="112">
                  <c:v>252.63920000000002</c:v>
                </c:pt>
                <c:pt idx="113">
                  <c:v>253.75060000000002</c:v>
                </c:pt>
                <c:pt idx="114">
                  <c:v>254.89919999999998</c:v>
                </c:pt>
                <c:pt idx="115">
                  <c:v>256.09800000000001</c:v>
                </c:pt>
                <c:pt idx="116">
                  <c:v>257.17539999999997</c:v>
                </c:pt>
                <c:pt idx="117">
                  <c:v>258.46019999999999</c:v>
                </c:pt>
                <c:pt idx="118">
                  <c:v>259.5718</c:v>
                </c:pt>
                <c:pt idx="119">
                  <c:v>260.62919999999997</c:v>
                </c:pt>
                <c:pt idx="120">
                  <c:v>261.60920000000004</c:v>
                </c:pt>
                <c:pt idx="121">
                  <c:v>262.73340000000002</c:v>
                </c:pt>
                <c:pt idx="122">
                  <c:v>263.78120000000001</c:v>
                </c:pt>
                <c:pt idx="123">
                  <c:v>264.80979999999994</c:v>
                </c:pt>
                <c:pt idx="124">
                  <c:v>265.83119999999997</c:v>
                </c:pt>
                <c:pt idx="125">
                  <c:v>266.77099999999996</c:v>
                </c:pt>
                <c:pt idx="126">
                  <c:v>267.99279999999993</c:v>
                </c:pt>
                <c:pt idx="127">
                  <c:v>269.14739999999995</c:v>
                </c:pt>
                <c:pt idx="128">
                  <c:v>270.17279999999994</c:v>
                </c:pt>
                <c:pt idx="129">
                  <c:v>271.05679999999995</c:v>
                </c:pt>
                <c:pt idx="130">
                  <c:v>271.89619999999996</c:v>
                </c:pt>
                <c:pt idx="131">
                  <c:v>272.75699999999995</c:v>
                </c:pt>
                <c:pt idx="132">
                  <c:v>273.48439999999999</c:v>
                </c:pt>
                <c:pt idx="133">
                  <c:v>274.14080000000001</c:v>
                </c:pt>
                <c:pt idx="134">
                  <c:v>274.87580000000003</c:v>
                </c:pt>
                <c:pt idx="135">
                  <c:v>275.50260000000003</c:v>
                </c:pt>
                <c:pt idx="136">
                  <c:v>276.05900000000003</c:v>
                </c:pt>
                <c:pt idx="137">
                  <c:v>276.71520000000004</c:v>
                </c:pt>
                <c:pt idx="138">
                  <c:v>276.85160000000002</c:v>
                </c:pt>
                <c:pt idx="139">
                  <c:v>276.87420000000003</c:v>
                </c:pt>
                <c:pt idx="140">
                  <c:v>276.98200000000003</c:v>
                </c:pt>
                <c:pt idx="141">
                  <c:v>276.89659999999998</c:v>
                </c:pt>
                <c:pt idx="142">
                  <c:v>276.76659999999998</c:v>
                </c:pt>
                <c:pt idx="143">
                  <c:v>276.46139999999997</c:v>
                </c:pt>
                <c:pt idx="144">
                  <c:v>276.12339999999995</c:v>
                </c:pt>
                <c:pt idx="145">
                  <c:v>275.94559999999996</c:v>
                </c:pt>
                <c:pt idx="146">
                  <c:v>275.79160000000002</c:v>
                </c:pt>
                <c:pt idx="147">
                  <c:v>275.66460000000001</c:v>
                </c:pt>
                <c:pt idx="148">
                  <c:v>275.40319999999997</c:v>
                </c:pt>
                <c:pt idx="149">
                  <c:v>275.04380000000003</c:v>
                </c:pt>
                <c:pt idx="150">
                  <c:v>274.596</c:v>
                </c:pt>
                <c:pt idx="151">
                  <c:v>274.11020000000002</c:v>
                </c:pt>
                <c:pt idx="152">
                  <c:v>273.63359999999994</c:v>
                </c:pt>
                <c:pt idx="153">
                  <c:v>273.07179999999994</c:v>
                </c:pt>
                <c:pt idx="154">
                  <c:v>272.55579999999992</c:v>
                </c:pt>
                <c:pt idx="155">
                  <c:v>272.00759999999997</c:v>
                </c:pt>
                <c:pt idx="156">
                  <c:v>271.45579999999995</c:v>
                </c:pt>
                <c:pt idx="157">
                  <c:v>270.86519999999996</c:v>
                </c:pt>
                <c:pt idx="158">
                  <c:v>270.12839999999994</c:v>
                </c:pt>
                <c:pt idx="159">
                  <c:v>269.33979999999997</c:v>
                </c:pt>
                <c:pt idx="160">
                  <c:v>268.50779999999997</c:v>
                </c:pt>
                <c:pt idx="161">
                  <c:v>267.81599999999997</c:v>
                </c:pt>
                <c:pt idx="162">
                  <c:v>267.07620000000003</c:v>
                </c:pt>
                <c:pt idx="163">
                  <c:v>266.32979999999998</c:v>
                </c:pt>
                <c:pt idx="164">
                  <c:v>265.53539999999998</c:v>
                </c:pt>
                <c:pt idx="165">
                  <c:v>264.74600000000004</c:v>
                </c:pt>
                <c:pt idx="166">
                  <c:v>263.84440000000001</c:v>
                </c:pt>
                <c:pt idx="167">
                  <c:v>262.91219999999998</c:v>
                </c:pt>
                <c:pt idx="168">
                  <c:v>262.0616</c:v>
                </c:pt>
                <c:pt idx="169">
                  <c:v>261.34480000000002</c:v>
                </c:pt>
                <c:pt idx="170">
                  <c:v>260.733</c:v>
                </c:pt>
                <c:pt idx="171">
                  <c:v>259.97500000000002</c:v>
                </c:pt>
                <c:pt idx="172">
                  <c:v>259.2912</c:v>
                </c:pt>
                <c:pt idx="173">
                  <c:v>258.60700000000003</c:v>
                </c:pt>
                <c:pt idx="174">
                  <c:v>257.89240000000001</c:v>
                </c:pt>
                <c:pt idx="175">
                  <c:v>257.1934</c:v>
                </c:pt>
                <c:pt idx="176">
                  <c:v>256.56660000000005</c:v>
                </c:pt>
                <c:pt idx="177">
                  <c:v>256.06380000000001</c:v>
                </c:pt>
                <c:pt idx="178">
                  <c:v>255.64320000000001</c:v>
                </c:pt>
                <c:pt idx="179">
                  <c:v>255.39880000000005</c:v>
                </c:pt>
                <c:pt idx="180">
                  <c:v>255.16780000000006</c:v>
                </c:pt>
                <c:pt idx="181">
                  <c:v>254.86440000000005</c:v>
                </c:pt>
                <c:pt idx="182">
                  <c:v>254.8548000000001</c:v>
                </c:pt>
                <c:pt idx="183">
                  <c:v>254.90100000000007</c:v>
                </c:pt>
                <c:pt idx="184">
                  <c:v>254.77960000000002</c:v>
                </c:pt>
                <c:pt idx="185">
                  <c:v>254.72860000000003</c:v>
                </c:pt>
                <c:pt idx="186">
                  <c:v>254.81920000000002</c:v>
                </c:pt>
                <c:pt idx="187">
                  <c:v>254.9134</c:v>
                </c:pt>
                <c:pt idx="188">
                  <c:v>255.47060000000002</c:v>
                </c:pt>
                <c:pt idx="189">
                  <c:v>256.06460000000004</c:v>
                </c:pt>
                <c:pt idx="190">
                  <c:v>256.67780000000005</c:v>
                </c:pt>
                <c:pt idx="191">
                  <c:v>257.21879999999999</c:v>
                </c:pt>
                <c:pt idx="192">
                  <c:v>257.77819999999997</c:v>
                </c:pt>
                <c:pt idx="193">
                  <c:v>258.27159999999998</c:v>
                </c:pt>
                <c:pt idx="194">
                  <c:v>258.81499999999994</c:v>
                </c:pt>
                <c:pt idx="195">
                  <c:v>259.29839999999996</c:v>
                </c:pt>
                <c:pt idx="196">
                  <c:v>259.89999999999998</c:v>
                </c:pt>
                <c:pt idx="197">
                  <c:v>260.37379999999996</c:v>
                </c:pt>
                <c:pt idx="198">
                  <c:v>260.99619999999993</c:v>
                </c:pt>
                <c:pt idx="199">
                  <c:v>261.82379999999989</c:v>
                </c:pt>
                <c:pt idx="200">
                  <c:v>262.73879999999991</c:v>
                </c:pt>
                <c:pt idx="201">
                  <c:v>263.79359999999991</c:v>
                </c:pt>
                <c:pt idx="202">
                  <c:v>264.69219999999996</c:v>
                </c:pt>
                <c:pt idx="203">
                  <c:v>266.09919999999994</c:v>
                </c:pt>
                <c:pt idx="204">
                  <c:v>267.56659999999994</c:v>
                </c:pt>
                <c:pt idx="205">
                  <c:v>269.02899999999988</c:v>
                </c:pt>
                <c:pt idx="206">
                  <c:v>270.36759999999992</c:v>
                </c:pt>
                <c:pt idx="207">
                  <c:v>271.7177999999999</c:v>
                </c:pt>
                <c:pt idx="208">
                  <c:v>273.07799999999986</c:v>
                </c:pt>
                <c:pt idx="209">
                  <c:v>274.3307999999999</c:v>
                </c:pt>
                <c:pt idx="210">
                  <c:v>275.55919999999986</c:v>
                </c:pt>
                <c:pt idx="211">
                  <c:v>276.84199999999987</c:v>
                </c:pt>
                <c:pt idx="212">
                  <c:v>278.19359999999989</c:v>
                </c:pt>
                <c:pt idx="213">
                  <c:v>279.40659999999991</c:v>
                </c:pt>
                <c:pt idx="214">
                  <c:v>280.71939999999989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95-4250-86C8-269F6ECFB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361664"/>
        <c:axId val="651362624"/>
      </c:lineChart>
      <c:dateAx>
        <c:axId val="6513616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362624"/>
        <c:crosses val="autoZero"/>
        <c:auto val="1"/>
        <c:lblOffset val="100"/>
        <c:baseTimeUnit val="days"/>
      </c:dateAx>
      <c:valAx>
        <c:axId val="651362624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36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</a:t>
            </a:r>
            <a:r>
              <a:rPr lang="en-US" baseline="0"/>
              <a:t> Day Moving Average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174234470691163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Stocks'!$B$1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 Stocks'!$A$2:$A$216</c:f>
              <c:numCache>
                <c:formatCode>m/d/yyyy</c:formatCode>
                <c:ptCount val="215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</c:numCache>
            </c:numRef>
          </c:cat>
          <c:val>
            <c:numRef>
              <c:f>'US Stocks'!$B$2:$B$216</c:f>
              <c:numCache>
                <c:formatCode>_([$$-409]* #,##0.00_);_([$$-409]* \(#,##0.00\);_([$$-409]* "-"??_);_(@_)</c:formatCode>
                <c:ptCount val="215"/>
                <c:pt idx="0">
                  <c:v>219.94</c:v>
                </c:pt>
                <c:pt idx="1">
                  <c:v>222.65</c:v>
                </c:pt>
                <c:pt idx="2">
                  <c:v>222.67</c:v>
                </c:pt>
                <c:pt idx="3">
                  <c:v>223.96</c:v>
                </c:pt>
                <c:pt idx="4">
                  <c:v>223.18</c:v>
                </c:pt>
                <c:pt idx="5">
                  <c:v>219.75</c:v>
                </c:pt>
                <c:pt idx="6">
                  <c:v>217.4</c:v>
                </c:pt>
                <c:pt idx="7">
                  <c:v>217.75</c:v>
                </c:pt>
                <c:pt idx="8">
                  <c:v>220.03</c:v>
                </c:pt>
                <c:pt idx="9">
                  <c:v>222.66</c:v>
                </c:pt>
                <c:pt idx="10">
                  <c:v>224.79</c:v>
                </c:pt>
                <c:pt idx="11">
                  <c:v>224.26</c:v>
                </c:pt>
                <c:pt idx="12">
                  <c:v>223.26</c:v>
                </c:pt>
                <c:pt idx="13">
                  <c:v>226.04</c:v>
                </c:pt>
                <c:pt idx="14">
                  <c:v>224.8</c:v>
                </c:pt>
                <c:pt idx="15">
                  <c:v>224.13</c:v>
                </c:pt>
                <c:pt idx="16">
                  <c:v>225.66</c:v>
                </c:pt>
                <c:pt idx="17">
                  <c:v>228.63</c:v>
                </c:pt>
                <c:pt idx="18">
                  <c:v>258.27</c:v>
                </c:pt>
                <c:pt idx="19">
                  <c:v>255.7</c:v>
                </c:pt>
                <c:pt idx="20">
                  <c:v>260.73</c:v>
                </c:pt>
                <c:pt idx="21">
                  <c:v>264.45999999999998</c:v>
                </c:pt>
                <c:pt idx="22">
                  <c:v>263.3</c:v>
                </c:pt>
                <c:pt idx="23">
                  <c:v>253.44</c:v>
                </c:pt>
                <c:pt idx="24">
                  <c:v>252.34</c:v>
                </c:pt>
                <c:pt idx="25">
                  <c:v>249.27</c:v>
                </c:pt>
                <c:pt idx="26">
                  <c:v>254.7</c:v>
                </c:pt>
                <c:pt idx="27">
                  <c:v>255.81</c:v>
                </c:pt>
                <c:pt idx="28">
                  <c:v>259.19</c:v>
                </c:pt>
                <c:pt idx="29">
                  <c:v>261.27999999999997</c:v>
                </c:pt>
                <c:pt idx="30">
                  <c:v>263.07</c:v>
                </c:pt>
                <c:pt idx="31">
                  <c:v>264.32</c:v>
                </c:pt>
                <c:pt idx="32">
                  <c:v>264.74</c:v>
                </c:pt>
                <c:pt idx="33">
                  <c:v>261.48</c:v>
                </c:pt>
                <c:pt idx="34">
                  <c:v>261.87</c:v>
                </c:pt>
                <c:pt idx="35">
                  <c:v>257.75</c:v>
                </c:pt>
                <c:pt idx="36">
                  <c:v>255.84</c:v>
                </c:pt>
                <c:pt idx="37">
                  <c:v>253.23</c:v>
                </c:pt>
                <c:pt idx="38">
                  <c:v>252.44</c:v>
                </c:pt>
                <c:pt idx="39">
                  <c:v>250.19</c:v>
                </c:pt>
                <c:pt idx="40">
                  <c:v>253.21</c:v>
                </c:pt>
                <c:pt idx="41">
                  <c:v>251.35</c:v>
                </c:pt>
                <c:pt idx="42">
                  <c:v>248.69</c:v>
                </c:pt>
                <c:pt idx="43">
                  <c:v>261.54000000000002</c:v>
                </c:pt>
                <c:pt idx="44">
                  <c:v>256.89999999999998</c:v>
                </c:pt>
                <c:pt idx="45">
                  <c:v>248.95</c:v>
                </c:pt>
                <c:pt idx="46">
                  <c:v>249.63</c:v>
                </c:pt>
                <c:pt idx="47">
                  <c:v>245.8</c:v>
                </c:pt>
                <c:pt idx="48">
                  <c:v>248.35</c:v>
                </c:pt>
                <c:pt idx="49">
                  <c:v>252.97</c:v>
                </c:pt>
                <c:pt idx="50">
                  <c:v>246.95</c:v>
                </c:pt>
                <c:pt idx="51">
                  <c:v>252.29</c:v>
                </c:pt>
                <c:pt idx="52">
                  <c:v>243.32</c:v>
                </c:pt>
                <c:pt idx="53">
                  <c:v>243.87</c:v>
                </c:pt>
                <c:pt idx="54">
                  <c:v>248.45</c:v>
                </c:pt>
                <c:pt idx="55">
                  <c:v>249.9</c:v>
                </c:pt>
                <c:pt idx="56">
                  <c:v>250.34</c:v>
                </c:pt>
                <c:pt idx="57">
                  <c:v>246.21</c:v>
                </c:pt>
                <c:pt idx="58">
                  <c:v>244</c:v>
                </c:pt>
                <c:pt idx="59">
                  <c:v>248.66</c:v>
                </c:pt>
                <c:pt idx="60">
                  <c:v>250.34</c:v>
                </c:pt>
                <c:pt idx="61">
                  <c:v>249.98</c:v>
                </c:pt>
                <c:pt idx="62">
                  <c:v>243.49</c:v>
                </c:pt>
                <c:pt idx="63">
                  <c:v>227.48</c:v>
                </c:pt>
                <c:pt idx="64">
                  <c:v>225.78</c:v>
                </c:pt>
                <c:pt idx="65">
                  <c:v>221.03</c:v>
                </c:pt>
                <c:pt idx="66">
                  <c:v>235.31</c:v>
                </c:pt>
                <c:pt idx="67">
                  <c:v>229.55</c:v>
                </c:pt>
                <c:pt idx="68">
                  <c:v>235.48</c:v>
                </c:pt>
                <c:pt idx="69">
                  <c:v>239.06</c:v>
                </c:pt>
                <c:pt idx="70">
                  <c:v>240.7</c:v>
                </c:pt>
                <c:pt idx="71">
                  <c:v>238.57</c:v>
                </c:pt>
                <c:pt idx="72">
                  <c:v>238.81</c:v>
                </c:pt>
                <c:pt idx="73">
                  <c:v>236.22</c:v>
                </c:pt>
                <c:pt idx="74">
                  <c:v>240.9</c:v>
                </c:pt>
                <c:pt idx="75">
                  <c:v>245.48</c:v>
                </c:pt>
                <c:pt idx="76">
                  <c:v>229.33</c:v>
                </c:pt>
                <c:pt idx="77">
                  <c:v>232.41</c:v>
                </c:pt>
                <c:pt idx="78">
                  <c:v>236.16</c:v>
                </c:pt>
                <c:pt idx="79">
                  <c:v>239.39</c:v>
                </c:pt>
                <c:pt idx="80">
                  <c:v>241.82</c:v>
                </c:pt>
                <c:pt idx="81">
                  <c:v>239.66</c:v>
                </c:pt>
                <c:pt idx="82">
                  <c:v>245.55</c:v>
                </c:pt>
                <c:pt idx="83">
                  <c:v>249.18</c:v>
                </c:pt>
                <c:pt idx="84">
                  <c:v>249.12</c:v>
                </c:pt>
                <c:pt idx="85">
                  <c:v>253.37</c:v>
                </c:pt>
                <c:pt idx="86">
                  <c:v>254.14</c:v>
                </c:pt>
                <c:pt idx="87">
                  <c:v>249.2</c:v>
                </c:pt>
                <c:pt idx="88">
                  <c:v>253.69</c:v>
                </c:pt>
                <c:pt idx="89">
                  <c:v>258.58999999999997</c:v>
                </c:pt>
                <c:pt idx="90">
                  <c:v>257.82</c:v>
                </c:pt>
                <c:pt idx="91">
                  <c:v>266.68</c:v>
                </c:pt>
                <c:pt idx="92">
                  <c:v>266.76</c:v>
                </c:pt>
                <c:pt idx="93">
                  <c:v>268.41000000000003</c:v>
                </c:pt>
                <c:pt idx="94">
                  <c:v>266.95</c:v>
                </c:pt>
                <c:pt idx="95">
                  <c:v>260.87</c:v>
                </c:pt>
                <c:pt idx="96">
                  <c:v>258.37</c:v>
                </c:pt>
                <c:pt idx="97">
                  <c:v>258.63</c:v>
                </c:pt>
                <c:pt idx="98">
                  <c:v>263.23</c:v>
                </c:pt>
                <c:pt idx="99">
                  <c:v>260.24</c:v>
                </c:pt>
                <c:pt idx="100">
                  <c:v>258.69</c:v>
                </c:pt>
                <c:pt idx="101">
                  <c:v>259.06</c:v>
                </c:pt>
                <c:pt idx="102">
                  <c:v>263.89999999999998</c:v>
                </c:pt>
                <c:pt idx="103">
                  <c:v>265.2</c:v>
                </c:pt>
                <c:pt idx="104">
                  <c:v>265.52</c:v>
                </c:pt>
                <c:pt idx="105">
                  <c:v>266.86</c:v>
                </c:pt>
                <c:pt idx="106">
                  <c:v>268.87</c:v>
                </c:pt>
                <c:pt idx="107">
                  <c:v>272.08</c:v>
                </c:pt>
                <c:pt idx="108">
                  <c:v>276.24</c:v>
                </c:pt>
                <c:pt idx="109">
                  <c:v>281.52</c:v>
                </c:pt>
                <c:pt idx="110">
                  <c:v>281.02999999999997</c:v>
                </c:pt>
                <c:pt idx="111">
                  <c:v>277.22000000000003</c:v>
                </c:pt>
                <c:pt idx="112">
                  <c:v>281.83</c:v>
                </c:pt>
                <c:pt idx="113">
                  <c:v>283.05</c:v>
                </c:pt>
                <c:pt idx="114">
                  <c:v>283.20999999999998</c:v>
                </c:pt>
                <c:pt idx="115">
                  <c:v>280.97000000000003</c:v>
                </c:pt>
                <c:pt idx="116">
                  <c:v>289.18</c:v>
                </c:pt>
                <c:pt idx="117">
                  <c:v>293.79000000000002</c:v>
                </c:pt>
                <c:pt idx="118">
                  <c:v>291.06</c:v>
                </c:pt>
                <c:pt idx="119">
                  <c:v>291.93</c:v>
                </c:pt>
                <c:pt idx="120">
                  <c:v>289.7</c:v>
                </c:pt>
                <c:pt idx="121">
                  <c:v>294.77999999999997</c:v>
                </c:pt>
                <c:pt idx="122">
                  <c:v>291.2</c:v>
                </c:pt>
                <c:pt idx="123">
                  <c:v>287.64999999999998</c:v>
                </c:pt>
                <c:pt idx="124">
                  <c:v>291.97000000000003</c:v>
                </c:pt>
                <c:pt idx="125">
                  <c:v>292.47000000000003</c:v>
                </c:pt>
                <c:pt idx="126">
                  <c:v>290.42</c:v>
                </c:pt>
                <c:pt idx="127">
                  <c:v>290.14</c:v>
                </c:pt>
                <c:pt idx="128">
                  <c:v>287.43</c:v>
                </c:pt>
                <c:pt idx="129">
                  <c:v>283.58999999999997</c:v>
                </c:pt>
                <c:pt idx="130">
                  <c:v>283.79000000000002</c:v>
                </c:pt>
                <c:pt idx="131">
                  <c:v>282.7</c:v>
                </c:pt>
                <c:pt idx="132">
                  <c:v>281.92</c:v>
                </c:pt>
                <c:pt idx="133">
                  <c:v>282</c:v>
                </c:pt>
                <c:pt idx="134">
                  <c:v>285.87</c:v>
                </c:pt>
                <c:pt idx="135">
                  <c:v>284.70999999999998</c:v>
                </c:pt>
                <c:pt idx="136">
                  <c:v>281.95999999999998</c:v>
                </c:pt>
                <c:pt idx="137">
                  <c:v>282.01</c:v>
                </c:pt>
                <c:pt idx="138">
                  <c:v>260.51</c:v>
                </c:pt>
                <c:pt idx="139">
                  <c:v>259.72000000000003</c:v>
                </c:pt>
                <c:pt idx="140">
                  <c:v>263.20999999999998</c:v>
                </c:pt>
                <c:pt idx="141">
                  <c:v>262.41000000000003</c:v>
                </c:pt>
                <c:pt idx="142">
                  <c:v>260.26</c:v>
                </c:pt>
                <c:pt idx="143">
                  <c:v>253.15</c:v>
                </c:pt>
                <c:pt idx="144">
                  <c:v>250.05</c:v>
                </c:pt>
                <c:pt idx="145">
                  <c:v>251.98</c:v>
                </c:pt>
                <c:pt idx="146">
                  <c:v>250.67</c:v>
                </c:pt>
                <c:pt idx="147">
                  <c:v>252.28</c:v>
                </c:pt>
                <c:pt idx="148">
                  <c:v>250.16</c:v>
                </c:pt>
                <c:pt idx="149">
                  <c:v>242.27</c:v>
                </c:pt>
                <c:pt idx="150">
                  <c:v>236.3</c:v>
                </c:pt>
                <c:pt idx="151">
                  <c:v>234.77</c:v>
                </c:pt>
                <c:pt idx="152">
                  <c:v>240.07</c:v>
                </c:pt>
                <c:pt idx="153">
                  <c:v>237.11</c:v>
                </c:pt>
                <c:pt idx="154">
                  <c:v>239.72</c:v>
                </c:pt>
                <c:pt idx="155">
                  <c:v>239.45</c:v>
                </c:pt>
                <c:pt idx="156">
                  <c:v>241.28</c:v>
                </c:pt>
                <c:pt idx="157">
                  <c:v>242.55</c:v>
                </c:pt>
                <c:pt idx="158">
                  <c:v>239.4</c:v>
                </c:pt>
                <c:pt idx="159">
                  <c:v>242.09</c:v>
                </c:pt>
                <c:pt idx="160">
                  <c:v>239.43</c:v>
                </c:pt>
                <c:pt idx="161">
                  <c:v>242.63</c:v>
                </c:pt>
                <c:pt idx="162">
                  <c:v>244.84</c:v>
                </c:pt>
                <c:pt idx="163">
                  <c:v>245.73</c:v>
                </c:pt>
                <c:pt idx="164">
                  <c:v>243.49</c:v>
                </c:pt>
                <c:pt idx="165">
                  <c:v>241.5</c:v>
                </c:pt>
                <c:pt idx="166">
                  <c:v>244.1</c:v>
                </c:pt>
                <c:pt idx="167">
                  <c:v>247.18</c:v>
                </c:pt>
                <c:pt idx="168">
                  <c:v>248.53</c:v>
                </c:pt>
                <c:pt idx="169">
                  <c:v>256.08999999999997</c:v>
                </c:pt>
                <c:pt idx="170">
                  <c:v>259.11</c:v>
                </c:pt>
                <c:pt idx="171">
                  <c:v>256.88</c:v>
                </c:pt>
                <c:pt idx="172">
                  <c:v>257.01</c:v>
                </c:pt>
                <c:pt idx="173">
                  <c:v>253.44</c:v>
                </c:pt>
                <c:pt idx="174">
                  <c:v>256.24</c:v>
                </c:pt>
                <c:pt idx="175">
                  <c:v>257.52</c:v>
                </c:pt>
                <c:pt idx="176">
                  <c:v>259.08</c:v>
                </c:pt>
                <c:pt idx="177">
                  <c:v>265</c:v>
                </c:pt>
                <c:pt idx="178">
                  <c:v>266.39999999999998</c:v>
                </c:pt>
                <c:pt idx="179">
                  <c:v>271.37</c:v>
                </c:pt>
                <c:pt idx="180">
                  <c:v>272.24</c:v>
                </c:pt>
                <c:pt idx="181">
                  <c:v>267.52999999999997</c:v>
                </c:pt>
                <c:pt idx="182">
                  <c:v>281.44</c:v>
                </c:pt>
                <c:pt idx="183">
                  <c:v>284.31</c:v>
                </c:pt>
                <c:pt idx="184">
                  <c:v>279.8</c:v>
                </c:pt>
                <c:pt idx="185">
                  <c:v>282.16000000000003</c:v>
                </c:pt>
                <c:pt idx="186">
                  <c:v>286.49</c:v>
                </c:pt>
                <c:pt idx="187">
                  <c:v>286.72000000000003</c:v>
                </c:pt>
                <c:pt idx="188">
                  <c:v>288.37</c:v>
                </c:pt>
                <c:pt idx="189">
                  <c:v>289.42</c:v>
                </c:pt>
                <c:pt idx="190">
                  <c:v>293.87</c:v>
                </c:pt>
                <c:pt idx="191">
                  <c:v>289.45999999999998</c:v>
                </c:pt>
                <c:pt idx="192">
                  <c:v>288.23</c:v>
                </c:pt>
                <c:pt idx="193">
                  <c:v>277.82</c:v>
                </c:pt>
                <c:pt idx="194">
                  <c:v>277.22000000000003</c:v>
                </c:pt>
                <c:pt idx="195">
                  <c:v>276.14999999999998</c:v>
                </c:pt>
                <c:pt idx="196">
                  <c:v>280.75</c:v>
                </c:pt>
                <c:pt idx="197">
                  <c:v>275.97000000000003</c:v>
                </c:pt>
                <c:pt idx="198">
                  <c:v>281.27999999999997</c:v>
                </c:pt>
                <c:pt idx="199">
                  <c:v>283.64999999999998</c:v>
                </c:pt>
                <c:pt idx="200">
                  <c:v>282.05</c:v>
                </c:pt>
                <c:pt idx="201">
                  <c:v>287.51</c:v>
                </c:pt>
                <c:pt idx="202">
                  <c:v>285</c:v>
                </c:pt>
                <c:pt idx="203">
                  <c:v>307.45999999999998</c:v>
                </c:pt>
                <c:pt idx="204">
                  <c:v>313.08999999999997</c:v>
                </c:pt>
                <c:pt idx="205">
                  <c:v>312.57</c:v>
                </c:pt>
                <c:pt idx="206">
                  <c:v>308.20999999999998</c:v>
                </c:pt>
                <c:pt idx="207">
                  <c:v>310.06</c:v>
                </c:pt>
                <c:pt idx="208">
                  <c:v>307.41000000000003</c:v>
                </c:pt>
                <c:pt idx="209">
                  <c:v>304.73</c:v>
                </c:pt>
                <c:pt idx="210">
                  <c:v>300.85000000000002</c:v>
                </c:pt>
                <c:pt idx="211">
                  <c:v>306.77</c:v>
                </c:pt>
                <c:pt idx="212">
                  <c:v>312.42</c:v>
                </c:pt>
                <c:pt idx="213">
                  <c:v>306.38</c:v>
                </c:pt>
                <c:pt idx="214">
                  <c:v>309.13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64-4A31-A382-32EE10CEAED5}"/>
            </c:ext>
          </c:extLst>
        </c:ser>
        <c:ser>
          <c:idx val="1"/>
          <c:order val="1"/>
          <c:tx>
            <c:strRef>
              <c:f>'US Stocks'!$G$1</c:f>
              <c:strCache>
                <c:ptCount val="1"/>
                <c:pt idx="0">
                  <c:v> 20 Day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 Stocks'!$A$2:$A$216</c:f>
              <c:numCache>
                <c:formatCode>m/d/yyyy</c:formatCode>
                <c:ptCount val="215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</c:numCache>
            </c:numRef>
          </c:cat>
          <c:val>
            <c:numRef>
              <c:f>'US Stocks'!$G$2:$G$216</c:f>
              <c:numCache>
                <c:formatCode>_(* #,##0.00_);_(* \(#,##0.00\);_(* "-"??_);_(@_)</c:formatCode>
                <c:ptCount val="215"/>
                <c:pt idx="19">
                  <c:v>226.2765</c:v>
                </c:pt>
                <c:pt idx="20">
                  <c:v>228.31600000000009</c:v>
                </c:pt>
                <c:pt idx="21">
                  <c:v>230.40649999999999</c:v>
                </c:pt>
                <c:pt idx="22">
                  <c:v>232.43800000000002</c:v>
                </c:pt>
                <c:pt idx="23">
                  <c:v>233.91199999999998</c:v>
                </c:pt>
                <c:pt idx="24">
                  <c:v>235.36999999999998</c:v>
                </c:pt>
                <c:pt idx="25">
                  <c:v>236.846</c:v>
                </c:pt>
                <c:pt idx="26">
                  <c:v>238.71100000000001</c:v>
                </c:pt>
                <c:pt idx="27">
                  <c:v>240.61400000000003</c:v>
                </c:pt>
                <c:pt idx="28">
                  <c:v>242.57200000000003</c:v>
                </c:pt>
                <c:pt idx="29">
                  <c:v>244.50299999999999</c:v>
                </c:pt>
                <c:pt idx="30">
                  <c:v>246.41699999999997</c:v>
                </c:pt>
                <c:pt idx="31">
                  <c:v>248.42</c:v>
                </c:pt>
                <c:pt idx="32">
                  <c:v>250.49399999999997</c:v>
                </c:pt>
                <c:pt idx="33">
                  <c:v>252.26599999999999</c:v>
                </c:pt>
                <c:pt idx="34">
                  <c:v>254.11950000000002</c:v>
                </c:pt>
                <c:pt idx="35">
                  <c:v>255.80049999999997</c:v>
                </c:pt>
                <c:pt idx="36">
                  <c:v>257.30949999999996</c:v>
                </c:pt>
                <c:pt idx="37">
                  <c:v>258.53949999999998</c:v>
                </c:pt>
                <c:pt idx="38">
                  <c:v>258.24799999999999</c:v>
                </c:pt>
                <c:pt idx="39">
                  <c:v>257.97249999999997</c:v>
                </c:pt>
                <c:pt idx="40">
                  <c:v>257.59649999999993</c:v>
                </c:pt>
                <c:pt idx="41">
                  <c:v>256.94099999999997</c:v>
                </c:pt>
                <c:pt idx="42">
                  <c:v>256.21049999999997</c:v>
                </c:pt>
                <c:pt idx="43">
                  <c:v>256.6155</c:v>
                </c:pt>
                <c:pt idx="44">
                  <c:v>256.84350000000001</c:v>
                </c:pt>
                <c:pt idx="45">
                  <c:v>256.82749999999999</c:v>
                </c:pt>
                <c:pt idx="46">
                  <c:v>256.57399999999996</c:v>
                </c:pt>
                <c:pt idx="47">
                  <c:v>256.07350000000002</c:v>
                </c:pt>
                <c:pt idx="48">
                  <c:v>255.53149999999999</c:v>
                </c:pt>
                <c:pt idx="49">
                  <c:v>255.11600000000004</c:v>
                </c:pt>
                <c:pt idx="50">
                  <c:v>254.31</c:v>
                </c:pt>
                <c:pt idx="51">
                  <c:v>253.70850000000002</c:v>
                </c:pt>
                <c:pt idx="52">
                  <c:v>252.63749999999999</c:v>
                </c:pt>
                <c:pt idx="53">
                  <c:v>251.75699999999998</c:v>
                </c:pt>
                <c:pt idx="54">
                  <c:v>251.08599999999996</c:v>
                </c:pt>
                <c:pt idx="55">
                  <c:v>250.69349999999994</c:v>
                </c:pt>
                <c:pt idx="56">
                  <c:v>250.41849999999994</c:v>
                </c:pt>
                <c:pt idx="57">
                  <c:v>250.06749999999997</c:v>
                </c:pt>
                <c:pt idx="58">
                  <c:v>249.6455</c:v>
                </c:pt>
                <c:pt idx="59">
                  <c:v>249.56899999999996</c:v>
                </c:pt>
                <c:pt idx="60">
                  <c:v>249.42549999999997</c:v>
                </c:pt>
                <c:pt idx="61">
                  <c:v>249.35699999999997</c:v>
                </c:pt>
                <c:pt idx="62">
                  <c:v>249.09699999999998</c:v>
                </c:pt>
                <c:pt idx="63">
                  <c:v>247.39399999999992</c:v>
                </c:pt>
                <c:pt idx="64">
                  <c:v>245.83799999999997</c:v>
                </c:pt>
                <c:pt idx="65">
                  <c:v>244.44199999999995</c:v>
                </c:pt>
                <c:pt idx="66">
                  <c:v>243.72599999999997</c:v>
                </c:pt>
                <c:pt idx="67">
                  <c:v>242.91350000000003</c:v>
                </c:pt>
                <c:pt idx="68">
                  <c:v>242.27000000000004</c:v>
                </c:pt>
                <c:pt idx="69">
                  <c:v>241.57450000000003</c:v>
                </c:pt>
                <c:pt idx="70">
                  <c:v>241.26200000000003</c:v>
                </c:pt>
                <c:pt idx="71">
                  <c:v>240.57600000000002</c:v>
                </c:pt>
                <c:pt idx="72">
                  <c:v>240.35050000000001</c:v>
                </c:pt>
                <c:pt idx="73">
                  <c:v>239.96800000000002</c:v>
                </c:pt>
                <c:pt idx="74">
                  <c:v>239.59050000000002</c:v>
                </c:pt>
                <c:pt idx="75">
                  <c:v>239.36949999999996</c:v>
                </c:pt>
                <c:pt idx="76">
                  <c:v>238.31899999999996</c:v>
                </c:pt>
                <c:pt idx="77">
                  <c:v>237.62899999999999</c:v>
                </c:pt>
                <c:pt idx="78">
                  <c:v>237.23699999999999</c:v>
                </c:pt>
                <c:pt idx="79">
                  <c:v>236.77349999999996</c:v>
                </c:pt>
                <c:pt idx="80">
                  <c:v>236.3475</c:v>
                </c:pt>
                <c:pt idx="81">
                  <c:v>235.83149999999995</c:v>
                </c:pt>
                <c:pt idx="82">
                  <c:v>235.93449999999999</c:v>
                </c:pt>
                <c:pt idx="83">
                  <c:v>237.01950000000002</c:v>
                </c:pt>
                <c:pt idx="84">
                  <c:v>238.18649999999997</c:v>
                </c:pt>
                <c:pt idx="85">
                  <c:v>239.80349999999999</c:v>
                </c:pt>
                <c:pt idx="86">
                  <c:v>240.74499999999998</c:v>
                </c:pt>
                <c:pt idx="87">
                  <c:v>241.72750000000002</c:v>
                </c:pt>
                <c:pt idx="88">
                  <c:v>242.63799999999998</c:v>
                </c:pt>
                <c:pt idx="89">
                  <c:v>243.61449999999996</c:v>
                </c:pt>
                <c:pt idx="90">
                  <c:v>244.47049999999996</c:v>
                </c:pt>
                <c:pt idx="91">
                  <c:v>245.87599999999998</c:v>
                </c:pt>
                <c:pt idx="92">
                  <c:v>247.27350000000001</c:v>
                </c:pt>
                <c:pt idx="93">
                  <c:v>248.88299999999998</c:v>
                </c:pt>
                <c:pt idx="94">
                  <c:v>250.18549999999999</c:v>
                </c:pt>
                <c:pt idx="95">
                  <c:v>250.95499999999998</c:v>
                </c:pt>
                <c:pt idx="96">
                  <c:v>252.40699999999998</c:v>
                </c:pt>
                <c:pt idx="97">
                  <c:v>253.71799999999999</c:v>
                </c:pt>
                <c:pt idx="98">
                  <c:v>255.07150000000001</c:v>
                </c:pt>
                <c:pt idx="99">
                  <c:v>256.11399999999992</c:v>
                </c:pt>
                <c:pt idx="100">
                  <c:v>256.95749999999992</c:v>
                </c:pt>
                <c:pt idx="101">
                  <c:v>257.92749999999995</c:v>
                </c:pt>
                <c:pt idx="102">
                  <c:v>258.84499999999997</c:v>
                </c:pt>
                <c:pt idx="103">
                  <c:v>259.64599999999996</c:v>
                </c:pt>
                <c:pt idx="104">
                  <c:v>260.46600000000001</c:v>
                </c:pt>
                <c:pt idx="105">
                  <c:v>261.14049999999992</c:v>
                </c:pt>
                <c:pt idx="106">
                  <c:v>261.87699999999995</c:v>
                </c:pt>
                <c:pt idx="107">
                  <c:v>263.02100000000002</c:v>
                </c:pt>
                <c:pt idx="108">
                  <c:v>264.14849999999996</c:v>
                </c:pt>
                <c:pt idx="109">
                  <c:v>265.29499999999996</c:v>
                </c:pt>
                <c:pt idx="110">
                  <c:v>266.45549999999997</c:v>
                </c:pt>
                <c:pt idx="111">
                  <c:v>266.98249999999996</c:v>
                </c:pt>
                <c:pt idx="112">
                  <c:v>267.73599999999999</c:v>
                </c:pt>
                <c:pt idx="113">
                  <c:v>268.46799999999996</c:v>
                </c:pt>
                <c:pt idx="114">
                  <c:v>269.28100000000001</c:v>
                </c:pt>
                <c:pt idx="115">
                  <c:v>270.286</c:v>
                </c:pt>
                <c:pt idx="116">
                  <c:v>271.82650000000007</c:v>
                </c:pt>
                <c:pt idx="117">
                  <c:v>273.58450000000005</c:v>
                </c:pt>
                <c:pt idx="118">
                  <c:v>274.97600000000006</c:v>
                </c:pt>
                <c:pt idx="119">
                  <c:v>276.5605000000001</c:v>
                </c:pt>
                <c:pt idx="120">
                  <c:v>278.11100000000005</c:v>
                </c:pt>
                <c:pt idx="121">
                  <c:v>279.89700000000005</c:v>
                </c:pt>
                <c:pt idx="122">
                  <c:v>281.26200000000006</c:v>
                </c:pt>
                <c:pt idx="123">
                  <c:v>282.3845</c:v>
                </c:pt>
                <c:pt idx="124">
                  <c:v>283.70699999999999</c:v>
                </c:pt>
                <c:pt idx="125">
                  <c:v>284.98750000000001</c:v>
                </c:pt>
                <c:pt idx="126">
                  <c:v>286.06499999999994</c:v>
                </c:pt>
                <c:pt idx="127">
                  <c:v>286.96799999999996</c:v>
                </c:pt>
                <c:pt idx="128">
                  <c:v>287.52750000000003</c:v>
                </c:pt>
                <c:pt idx="129">
                  <c:v>287.63100000000003</c:v>
                </c:pt>
                <c:pt idx="130">
                  <c:v>287.76900000000001</c:v>
                </c:pt>
                <c:pt idx="131">
                  <c:v>288.04300000000001</c:v>
                </c:pt>
                <c:pt idx="132">
                  <c:v>288.04750000000001</c:v>
                </c:pt>
                <c:pt idx="133">
                  <c:v>287.995</c:v>
                </c:pt>
                <c:pt idx="134">
                  <c:v>288.12800000000004</c:v>
                </c:pt>
                <c:pt idx="135">
                  <c:v>288.315</c:v>
                </c:pt>
                <c:pt idx="136">
                  <c:v>287.95400000000001</c:v>
                </c:pt>
                <c:pt idx="137">
                  <c:v>287.36500000000001</c:v>
                </c:pt>
                <c:pt idx="138">
                  <c:v>285.83749999999998</c:v>
                </c:pt>
                <c:pt idx="139">
                  <c:v>284.22700000000003</c:v>
                </c:pt>
                <c:pt idx="140">
                  <c:v>282.90250000000003</c:v>
                </c:pt>
                <c:pt idx="141">
                  <c:v>281.28399999999999</c:v>
                </c:pt>
                <c:pt idx="142">
                  <c:v>279.73700000000002</c:v>
                </c:pt>
                <c:pt idx="143">
                  <c:v>278.012</c:v>
                </c:pt>
                <c:pt idx="144">
                  <c:v>275.91600000000005</c:v>
                </c:pt>
                <c:pt idx="145">
                  <c:v>273.89150000000001</c:v>
                </c:pt>
                <c:pt idx="146">
                  <c:v>271.904</c:v>
                </c:pt>
                <c:pt idx="147">
                  <c:v>270.01100000000002</c:v>
                </c:pt>
                <c:pt idx="148">
                  <c:v>268.14749999999998</c:v>
                </c:pt>
                <c:pt idx="149">
                  <c:v>266.08150000000006</c:v>
                </c:pt>
                <c:pt idx="150">
                  <c:v>263.70700000000005</c:v>
                </c:pt>
                <c:pt idx="151">
                  <c:v>261.31050000000005</c:v>
                </c:pt>
                <c:pt idx="152">
                  <c:v>259.21800000000007</c:v>
                </c:pt>
                <c:pt idx="153">
                  <c:v>256.9735</c:v>
                </c:pt>
                <c:pt idx="154">
                  <c:v>254.66600000000003</c:v>
                </c:pt>
                <c:pt idx="155">
                  <c:v>252.40300000000002</c:v>
                </c:pt>
                <c:pt idx="156">
                  <c:v>250.369</c:v>
                </c:pt>
                <c:pt idx="157">
                  <c:v>248.39600000000002</c:v>
                </c:pt>
                <c:pt idx="158">
                  <c:v>247.34050000000002</c:v>
                </c:pt>
                <c:pt idx="159">
                  <c:v>246.459</c:v>
                </c:pt>
                <c:pt idx="160">
                  <c:v>245.27000000000004</c:v>
                </c:pt>
                <c:pt idx="161">
                  <c:v>244.28100000000003</c:v>
                </c:pt>
                <c:pt idx="162">
                  <c:v>243.51000000000005</c:v>
                </c:pt>
                <c:pt idx="163">
                  <c:v>243.13899999999998</c:v>
                </c:pt>
                <c:pt idx="164">
                  <c:v>242.81099999999998</c:v>
                </c:pt>
                <c:pt idx="165">
                  <c:v>242.28699999999998</c:v>
                </c:pt>
                <c:pt idx="166">
                  <c:v>241.95850000000004</c:v>
                </c:pt>
                <c:pt idx="167">
                  <c:v>241.70350000000008</c:v>
                </c:pt>
                <c:pt idx="168">
                  <c:v>241.62200000000001</c:v>
                </c:pt>
                <c:pt idx="169">
                  <c:v>242.31300000000002</c:v>
                </c:pt>
                <c:pt idx="170">
                  <c:v>243.45349999999999</c:v>
                </c:pt>
                <c:pt idx="171">
                  <c:v>244.55899999999997</c:v>
                </c:pt>
                <c:pt idx="172">
                  <c:v>245.40600000000001</c:v>
                </c:pt>
                <c:pt idx="173">
                  <c:v>246.22250000000003</c:v>
                </c:pt>
                <c:pt idx="174">
                  <c:v>247.04849999999996</c:v>
                </c:pt>
                <c:pt idx="175">
                  <c:v>247.95199999999994</c:v>
                </c:pt>
                <c:pt idx="176">
                  <c:v>248.84200000000001</c:v>
                </c:pt>
                <c:pt idx="177">
                  <c:v>249.96450000000004</c:v>
                </c:pt>
                <c:pt idx="178">
                  <c:v>251.31450000000004</c:v>
                </c:pt>
                <c:pt idx="179">
                  <c:v>252.77850000000004</c:v>
                </c:pt>
                <c:pt idx="180">
                  <c:v>254.41900000000001</c:v>
                </c:pt>
                <c:pt idx="181">
                  <c:v>255.66399999999999</c:v>
                </c:pt>
                <c:pt idx="182">
                  <c:v>257.49399999999997</c:v>
                </c:pt>
                <c:pt idx="183">
                  <c:v>259.423</c:v>
                </c:pt>
                <c:pt idx="184">
                  <c:v>261.23849999999999</c:v>
                </c:pt>
                <c:pt idx="185">
                  <c:v>263.27149999999995</c:v>
                </c:pt>
                <c:pt idx="186">
                  <c:v>265.39099999999996</c:v>
                </c:pt>
                <c:pt idx="187">
                  <c:v>267.36799999999999</c:v>
                </c:pt>
                <c:pt idx="188">
                  <c:v>269.36</c:v>
                </c:pt>
                <c:pt idx="189">
                  <c:v>271.0265</c:v>
                </c:pt>
                <c:pt idx="190">
                  <c:v>272.76449999999994</c:v>
                </c:pt>
                <c:pt idx="191">
                  <c:v>274.39350000000002</c:v>
                </c:pt>
                <c:pt idx="192">
                  <c:v>275.9545</c:v>
                </c:pt>
                <c:pt idx="193">
                  <c:v>277.17349999999999</c:v>
                </c:pt>
                <c:pt idx="194">
                  <c:v>278.22249999999997</c:v>
                </c:pt>
                <c:pt idx="195">
                  <c:v>279.15399999999994</c:v>
                </c:pt>
                <c:pt idx="196">
                  <c:v>280.23749999999995</c:v>
                </c:pt>
                <c:pt idx="197">
                  <c:v>280.78599999999994</c:v>
                </c:pt>
                <c:pt idx="198">
                  <c:v>281.53000000000003</c:v>
                </c:pt>
                <c:pt idx="199">
                  <c:v>282.14399999999995</c:v>
                </c:pt>
                <c:pt idx="200">
                  <c:v>282.6345</c:v>
                </c:pt>
                <c:pt idx="201">
                  <c:v>283.63350000000003</c:v>
                </c:pt>
                <c:pt idx="202">
                  <c:v>283.81149999999997</c:v>
                </c:pt>
                <c:pt idx="203">
                  <c:v>284.96899999999999</c:v>
                </c:pt>
                <c:pt idx="204">
                  <c:v>286.63350000000003</c:v>
                </c:pt>
                <c:pt idx="205">
                  <c:v>288.154</c:v>
                </c:pt>
                <c:pt idx="206">
                  <c:v>289.24</c:v>
                </c:pt>
                <c:pt idx="207">
                  <c:v>290.40700000000004</c:v>
                </c:pt>
                <c:pt idx="208">
                  <c:v>291.35900000000004</c:v>
                </c:pt>
                <c:pt idx="209">
                  <c:v>292.12450000000001</c:v>
                </c:pt>
                <c:pt idx="210">
                  <c:v>292.47350000000006</c:v>
                </c:pt>
                <c:pt idx="211">
                  <c:v>293.33900000000006</c:v>
                </c:pt>
                <c:pt idx="212">
                  <c:v>294.54850000000005</c:v>
                </c:pt>
                <c:pt idx="213">
                  <c:v>295.9765000000001</c:v>
                </c:pt>
                <c:pt idx="214">
                  <c:v>297.57200000000012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64-4A31-A382-32EE10CEA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3016512"/>
        <c:axId val="653015552"/>
      </c:lineChart>
      <c:dateAx>
        <c:axId val="6530165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15552"/>
        <c:crosses val="autoZero"/>
        <c:auto val="1"/>
        <c:lblOffset val="100"/>
        <c:baseTimeUnit val="days"/>
      </c:dateAx>
      <c:valAx>
        <c:axId val="653015552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1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Stocks'!$K$1:$K$20</c:f>
              <c:strCache>
                <c:ptCount val="20"/>
                <c:pt idx="0">
                  <c:v> HighLow20Day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numRef>
              <c:f>'US Stocks'!$A$21:$A$216</c:f>
              <c:numCache>
                <c:formatCode>m/d/yyyy</c:formatCode>
                <c:ptCount val="196"/>
                <c:pt idx="0">
                  <c:v>45688</c:v>
                </c:pt>
                <c:pt idx="1">
                  <c:v>45691</c:v>
                </c:pt>
                <c:pt idx="2">
                  <c:v>45692</c:v>
                </c:pt>
                <c:pt idx="3">
                  <c:v>45693</c:v>
                </c:pt>
                <c:pt idx="4">
                  <c:v>45694</c:v>
                </c:pt>
                <c:pt idx="5">
                  <c:v>45695</c:v>
                </c:pt>
                <c:pt idx="6">
                  <c:v>45698</c:v>
                </c:pt>
                <c:pt idx="7">
                  <c:v>45699</c:v>
                </c:pt>
                <c:pt idx="8">
                  <c:v>45700</c:v>
                </c:pt>
                <c:pt idx="9">
                  <c:v>45701</c:v>
                </c:pt>
                <c:pt idx="10">
                  <c:v>45702</c:v>
                </c:pt>
                <c:pt idx="11">
                  <c:v>45706</c:v>
                </c:pt>
                <c:pt idx="12">
                  <c:v>45707</c:v>
                </c:pt>
                <c:pt idx="13">
                  <c:v>45708</c:v>
                </c:pt>
                <c:pt idx="14">
                  <c:v>45709</c:v>
                </c:pt>
                <c:pt idx="15">
                  <c:v>45712</c:v>
                </c:pt>
                <c:pt idx="16">
                  <c:v>45713</c:v>
                </c:pt>
                <c:pt idx="17">
                  <c:v>45714</c:v>
                </c:pt>
                <c:pt idx="18">
                  <c:v>45715</c:v>
                </c:pt>
                <c:pt idx="19">
                  <c:v>45716</c:v>
                </c:pt>
                <c:pt idx="20">
                  <c:v>45719</c:v>
                </c:pt>
                <c:pt idx="21">
                  <c:v>45720</c:v>
                </c:pt>
                <c:pt idx="22">
                  <c:v>45721</c:v>
                </c:pt>
                <c:pt idx="23">
                  <c:v>45722</c:v>
                </c:pt>
                <c:pt idx="24">
                  <c:v>45723</c:v>
                </c:pt>
                <c:pt idx="25">
                  <c:v>45726</c:v>
                </c:pt>
                <c:pt idx="26">
                  <c:v>45727</c:v>
                </c:pt>
                <c:pt idx="27">
                  <c:v>45728</c:v>
                </c:pt>
                <c:pt idx="28">
                  <c:v>45729</c:v>
                </c:pt>
                <c:pt idx="29">
                  <c:v>45730</c:v>
                </c:pt>
                <c:pt idx="30">
                  <c:v>45733</c:v>
                </c:pt>
                <c:pt idx="31">
                  <c:v>45734</c:v>
                </c:pt>
                <c:pt idx="32">
                  <c:v>45735</c:v>
                </c:pt>
                <c:pt idx="33">
                  <c:v>45736</c:v>
                </c:pt>
                <c:pt idx="34">
                  <c:v>45737</c:v>
                </c:pt>
                <c:pt idx="35">
                  <c:v>45740</c:v>
                </c:pt>
                <c:pt idx="36">
                  <c:v>45741</c:v>
                </c:pt>
                <c:pt idx="37">
                  <c:v>45742</c:v>
                </c:pt>
                <c:pt idx="38">
                  <c:v>45743</c:v>
                </c:pt>
                <c:pt idx="39">
                  <c:v>45744</c:v>
                </c:pt>
                <c:pt idx="40">
                  <c:v>45747</c:v>
                </c:pt>
                <c:pt idx="41">
                  <c:v>45748</c:v>
                </c:pt>
                <c:pt idx="42">
                  <c:v>45749</c:v>
                </c:pt>
                <c:pt idx="43">
                  <c:v>45750</c:v>
                </c:pt>
                <c:pt idx="44">
                  <c:v>45751</c:v>
                </c:pt>
                <c:pt idx="45">
                  <c:v>45754</c:v>
                </c:pt>
                <c:pt idx="46">
                  <c:v>45755</c:v>
                </c:pt>
                <c:pt idx="47">
                  <c:v>45756</c:v>
                </c:pt>
                <c:pt idx="48">
                  <c:v>45757</c:v>
                </c:pt>
                <c:pt idx="49">
                  <c:v>45758</c:v>
                </c:pt>
                <c:pt idx="50">
                  <c:v>45761</c:v>
                </c:pt>
                <c:pt idx="51">
                  <c:v>45762</c:v>
                </c:pt>
                <c:pt idx="52">
                  <c:v>45763</c:v>
                </c:pt>
                <c:pt idx="53">
                  <c:v>45764</c:v>
                </c:pt>
                <c:pt idx="54">
                  <c:v>45768</c:v>
                </c:pt>
                <c:pt idx="55">
                  <c:v>45769</c:v>
                </c:pt>
                <c:pt idx="56">
                  <c:v>45770</c:v>
                </c:pt>
                <c:pt idx="57">
                  <c:v>45771</c:v>
                </c:pt>
                <c:pt idx="58">
                  <c:v>45772</c:v>
                </c:pt>
                <c:pt idx="59">
                  <c:v>45775</c:v>
                </c:pt>
                <c:pt idx="60">
                  <c:v>45776</c:v>
                </c:pt>
                <c:pt idx="61">
                  <c:v>45777</c:v>
                </c:pt>
                <c:pt idx="62">
                  <c:v>45778</c:v>
                </c:pt>
                <c:pt idx="63">
                  <c:v>45779</c:v>
                </c:pt>
                <c:pt idx="64">
                  <c:v>45782</c:v>
                </c:pt>
                <c:pt idx="65">
                  <c:v>45783</c:v>
                </c:pt>
                <c:pt idx="66">
                  <c:v>45784</c:v>
                </c:pt>
                <c:pt idx="67">
                  <c:v>45785</c:v>
                </c:pt>
                <c:pt idx="68">
                  <c:v>45786</c:v>
                </c:pt>
                <c:pt idx="69">
                  <c:v>45789</c:v>
                </c:pt>
                <c:pt idx="70">
                  <c:v>45790</c:v>
                </c:pt>
                <c:pt idx="71">
                  <c:v>45791</c:v>
                </c:pt>
                <c:pt idx="72">
                  <c:v>45792</c:v>
                </c:pt>
                <c:pt idx="73">
                  <c:v>45793</c:v>
                </c:pt>
                <c:pt idx="74">
                  <c:v>45796</c:v>
                </c:pt>
                <c:pt idx="75">
                  <c:v>45797</c:v>
                </c:pt>
                <c:pt idx="76">
                  <c:v>45798</c:v>
                </c:pt>
                <c:pt idx="77">
                  <c:v>45799</c:v>
                </c:pt>
                <c:pt idx="78">
                  <c:v>45800</c:v>
                </c:pt>
                <c:pt idx="79">
                  <c:v>45804</c:v>
                </c:pt>
                <c:pt idx="80">
                  <c:v>45805</c:v>
                </c:pt>
                <c:pt idx="81">
                  <c:v>45806</c:v>
                </c:pt>
                <c:pt idx="82">
                  <c:v>45807</c:v>
                </c:pt>
                <c:pt idx="83">
                  <c:v>45810</c:v>
                </c:pt>
                <c:pt idx="84">
                  <c:v>45811</c:v>
                </c:pt>
                <c:pt idx="85">
                  <c:v>45812</c:v>
                </c:pt>
                <c:pt idx="86">
                  <c:v>45813</c:v>
                </c:pt>
                <c:pt idx="87">
                  <c:v>45814</c:v>
                </c:pt>
                <c:pt idx="88">
                  <c:v>45817</c:v>
                </c:pt>
                <c:pt idx="89">
                  <c:v>45818</c:v>
                </c:pt>
                <c:pt idx="90">
                  <c:v>45819</c:v>
                </c:pt>
                <c:pt idx="91">
                  <c:v>45820</c:v>
                </c:pt>
                <c:pt idx="92">
                  <c:v>45821</c:v>
                </c:pt>
                <c:pt idx="93">
                  <c:v>45824</c:v>
                </c:pt>
                <c:pt idx="94">
                  <c:v>45825</c:v>
                </c:pt>
                <c:pt idx="95">
                  <c:v>45826</c:v>
                </c:pt>
                <c:pt idx="96">
                  <c:v>45828</c:v>
                </c:pt>
                <c:pt idx="97">
                  <c:v>45831</c:v>
                </c:pt>
                <c:pt idx="98">
                  <c:v>45832</c:v>
                </c:pt>
                <c:pt idx="99">
                  <c:v>45833</c:v>
                </c:pt>
                <c:pt idx="100">
                  <c:v>45834</c:v>
                </c:pt>
                <c:pt idx="101">
                  <c:v>45835</c:v>
                </c:pt>
                <c:pt idx="102">
                  <c:v>45838</c:v>
                </c:pt>
                <c:pt idx="103">
                  <c:v>45839</c:v>
                </c:pt>
                <c:pt idx="104">
                  <c:v>45840</c:v>
                </c:pt>
                <c:pt idx="105">
                  <c:v>45841</c:v>
                </c:pt>
                <c:pt idx="106">
                  <c:v>45845</c:v>
                </c:pt>
                <c:pt idx="107">
                  <c:v>45846</c:v>
                </c:pt>
                <c:pt idx="108">
                  <c:v>45847</c:v>
                </c:pt>
                <c:pt idx="109">
                  <c:v>45848</c:v>
                </c:pt>
                <c:pt idx="110">
                  <c:v>45849</c:v>
                </c:pt>
                <c:pt idx="111">
                  <c:v>45852</c:v>
                </c:pt>
                <c:pt idx="112">
                  <c:v>45853</c:v>
                </c:pt>
                <c:pt idx="113">
                  <c:v>45854</c:v>
                </c:pt>
                <c:pt idx="114">
                  <c:v>45855</c:v>
                </c:pt>
                <c:pt idx="115">
                  <c:v>45856</c:v>
                </c:pt>
                <c:pt idx="116">
                  <c:v>45859</c:v>
                </c:pt>
                <c:pt idx="117">
                  <c:v>45860</c:v>
                </c:pt>
                <c:pt idx="118">
                  <c:v>45861</c:v>
                </c:pt>
                <c:pt idx="119">
                  <c:v>45862</c:v>
                </c:pt>
                <c:pt idx="120">
                  <c:v>45863</c:v>
                </c:pt>
                <c:pt idx="121">
                  <c:v>45866</c:v>
                </c:pt>
                <c:pt idx="122">
                  <c:v>45867</c:v>
                </c:pt>
                <c:pt idx="123">
                  <c:v>45868</c:v>
                </c:pt>
                <c:pt idx="124">
                  <c:v>45869</c:v>
                </c:pt>
                <c:pt idx="125">
                  <c:v>45870</c:v>
                </c:pt>
                <c:pt idx="126">
                  <c:v>45873</c:v>
                </c:pt>
                <c:pt idx="127">
                  <c:v>45874</c:v>
                </c:pt>
                <c:pt idx="128">
                  <c:v>45875</c:v>
                </c:pt>
                <c:pt idx="129">
                  <c:v>45876</c:v>
                </c:pt>
                <c:pt idx="130">
                  <c:v>45877</c:v>
                </c:pt>
                <c:pt idx="131">
                  <c:v>45880</c:v>
                </c:pt>
                <c:pt idx="132">
                  <c:v>45881</c:v>
                </c:pt>
                <c:pt idx="133">
                  <c:v>45882</c:v>
                </c:pt>
                <c:pt idx="134">
                  <c:v>45883</c:v>
                </c:pt>
                <c:pt idx="135">
                  <c:v>45884</c:v>
                </c:pt>
                <c:pt idx="136">
                  <c:v>45887</c:v>
                </c:pt>
                <c:pt idx="137">
                  <c:v>45888</c:v>
                </c:pt>
                <c:pt idx="138">
                  <c:v>45889</c:v>
                </c:pt>
                <c:pt idx="139">
                  <c:v>45890</c:v>
                </c:pt>
                <c:pt idx="140">
                  <c:v>45891</c:v>
                </c:pt>
                <c:pt idx="141">
                  <c:v>45894</c:v>
                </c:pt>
                <c:pt idx="142">
                  <c:v>45895</c:v>
                </c:pt>
                <c:pt idx="143">
                  <c:v>45896</c:v>
                </c:pt>
                <c:pt idx="144">
                  <c:v>45897</c:v>
                </c:pt>
                <c:pt idx="145">
                  <c:v>45898</c:v>
                </c:pt>
                <c:pt idx="146">
                  <c:v>45902</c:v>
                </c:pt>
                <c:pt idx="147">
                  <c:v>45903</c:v>
                </c:pt>
                <c:pt idx="148">
                  <c:v>45904</c:v>
                </c:pt>
                <c:pt idx="149">
                  <c:v>45905</c:v>
                </c:pt>
                <c:pt idx="150">
                  <c:v>45908</c:v>
                </c:pt>
                <c:pt idx="151">
                  <c:v>45909</c:v>
                </c:pt>
                <c:pt idx="152">
                  <c:v>45910</c:v>
                </c:pt>
                <c:pt idx="153">
                  <c:v>45911</c:v>
                </c:pt>
                <c:pt idx="154">
                  <c:v>45912</c:v>
                </c:pt>
                <c:pt idx="155">
                  <c:v>45915</c:v>
                </c:pt>
                <c:pt idx="156">
                  <c:v>45916</c:v>
                </c:pt>
                <c:pt idx="157">
                  <c:v>45917</c:v>
                </c:pt>
                <c:pt idx="158">
                  <c:v>45918</c:v>
                </c:pt>
                <c:pt idx="159">
                  <c:v>45919</c:v>
                </c:pt>
                <c:pt idx="160">
                  <c:v>45922</c:v>
                </c:pt>
                <c:pt idx="161">
                  <c:v>45923</c:v>
                </c:pt>
                <c:pt idx="162">
                  <c:v>45924</c:v>
                </c:pt>
                <c:pt idx="163">
                  <c:v>45925</c:v>
                </c:pt>
                <c:pt idx="164">
                  <c:v>45926</c:v>
                </c:pt>
                <c:pt idx="165">
                  <c:v>45929</c:v>
                </c:pt>
                <c:pt idx="166">
                  <c:v>45930</c:v>
                </c:pt>
                <c:pt idx="167">
                  <c:v>45931</c:v>
                </c:pt>
                <c:pt idx="168">
                  <c:v>45932</c:v>
                </c:pt>
                <c:pt idx="169">
                  <c:v>45933</c:v>
                </c:pt>
                <c:pt idx="170">
                  <c:v>45936</c:v>
                </c:pt>
                <c:pt idx="171">
                  <c:v>45937</c:v>
                </c:pt>
                <c:pt idx="172">
                  <c:v>45938</c:v>
                </c:pt>
                <c:pt idx="173">
                  <c:v>45939</c:v>
                </c:pt>
                <c:pt idx="174">
                  <c:v>45940</c:v>
                </c:pt>
                <c:pt idx="175">
                  <c:v>45943</c:v>
                </c:pt>
                <c:pt idx="176">
                  <c:v>45944</c:v>
                </c:pt>
                <c:pt idx="177">
                  <c:v>45945</c:v>
                </c:pt>
                <c:pt idx="178">
                  <c:v>45946</c:v>
                </c:pt>
                <c:pt idx="179">
                  <c:v>45947</c:v>
                </c:pt>
                <c:pt idx="180">
                  <c:v>45950</c:v>
                </c:pt>
                <c:pt idx="181">
                  <c:v>45951</c:v>
                </c:pt>
                <c:pt idx="182">
                  <c:v>45952</c:v>
                </c:pt>
                <c:pt idx="183">
                  <c:v>45953</c:v>
                </c:pt>
                <c:pt idx="184">
                  <c:v>45954</c:v>
                </c:pt>
                <c:pt idx="185">
                  <c:v>45957</c:v>
                </c:pt>
                <c:pt idx="186">
                  <c:v>45958</c:v>
                </c:pt>
                <c:pt idx="187">
                  <c:v>45959</c:v>
                </c:pt>
                <c:pt idx="188">
                  <c:v>45960</c:v>
                </c:pt>
                <c:pt idx="189">
                  <c:v>45961</c:v>
                </c:pt>
                <c:pt idx="190">
                  <c:v>45964</c:v>
                </c:pt>
                <c:pt idx="191">
                  <c:v>45965</c:v>
                </c:pt>
                <c:pt idx="192">
                  <c:v>45966</c:v>
                </c:pt>
                <c:pt idx="193">
                  <c:v>45967</c:v>
                </c:pt>
                <c:pt idx="194">
                  <c:v>45968</c:v>
                </c:pt>
                <c:pt idx="195">
                  <c:v>45971</c:v>
                </c:pt>
              </c:numCache>
            </c:numRef>
          </c:cat>
          <c:val>
            <c:numRef>
              <c:f>'US Stocks'!$K$21:$K$216</c:f>
              <c:numCache>
                <c:formatCode>_(* #,##0.00_);_(* \(#,##0.00\);_(* "-"??_);_(@_)</c:formatCode>
                <c:ptCount val="196"/>
                <c:pt idx="0">
                  <c:v>4.6861150000000027</c:v>
                </c:pt>
                <c:pt idx="1">
                  <c:v>4.9526150000000015</c:v>
                </c:pt>
                <c:pt idx="2">
                  <c:v>5.1534500000000039</c:v>
                </c:pt>
                <c:pt idx="3">
                  <c:v>5.2004500000000053</c:v>
                </c:pt>
                <c:pt idx="4">
                  <c:v>5.5389000000000053</c:v>
                </c:pt>
                <c:pt idx="5">
                  <c:v>5.5809000000000051</c:v>
                </c:pt>
                <c:pt idx="6">
                  <c:v>5.5534000000000052</c:v>
                </c:pt>
                <c:pt idx="7">
                  <c:v>5.6199000000000039</c:v>
                </c:pt>
                <c:pt idx="8">
                  <c:v>5.6631500000000035</c:v>
                </c:pt>
                <c:pt idx="9">
                  <c:v>5.7233450000000019</c:v>
                </c:pt>
                <c:pt idx="10">
                  <c:v>5.6598449999999998</c:v>
                </c:pt>
                <c:pt idx="11">
                  <c:v>5.7508449999999982</c:v>
                </c:pt>
                <c:pt idx="12">
                  <c:v>5.7333550000000004</c:v>
                </c:pt>
                <c:pt idx="13">
                  <c:v>5.6778549999999992</c:v>
                </c:pt>
                <c:pt idx="14">
                  <c:v>5.7198549999999981</c:v>
                </c:pt>
                <c:pt idx="15">
                  <c:v>5.7825850000000019</c:v>
                </c:pt>
                <c:pt idx="16">
                  <c:v>5.8950850000000035</c:v>
                </c:pt>
                <c:pt idx="17">
                  <c:v>5.8908150000000017</c:v>
                </c:pt>
                <c:pt idx="18">
                  <c:v>5.832815000000001</c:v>
                </c:pt>
                <c:pt idx="19">
                  <c:v>5.4068100000000001</c:v>
                </c:pt>
                <c:pt idx="20">
                  <c:v>5.5268099999999993</c:v>
                </c:pt>
                <c:pt idx="21">
                  <c:v>5.384809999999999</c:v>
                </c:pt>
                <c:pt idx="22">
                  <c:v>5.3147449999999976</c:v>
                </c:pt>
                <c:pt idx="23">
                  <c:v>5.352649999999997</c:v>
                </c:pt>
                <c:pt idx="24">
                  <c:v>5.6590349999999958</c:v>
                </c:pt>
                <c:pt idx="25">
                  <c:v>5.9986649999999955</c:v>
                </c:pt>
                <c:pt idx="26">
                  <c:v>6.2866649999999948</c:v>
                </c:pt>
                <c:pt idx="27">
                  <c:v>6.358029999999995</c:v>
                </c:pt>
                <c:pt idx="28">
                  <c:v>6.4505299999999979</c:v>
                </c:pt>
                <c:pt idx="29">
                  <c:v>6.5705249999999991</c:v>
                </c:pt>
                <c:pt idx="30">
                  <c:v>6.650525</c:v>
                </c:pt>
                <c:pt idx="31">
                  <c:v>6.8162750000000001</c:v>
                </c:pt>
                <c:pt idx="32">
                  <c:v>6.9537749999999985</c:v>
                </c:pt>
                <c:pt idx="33">
                  <c:v>7.2855749999999997</c:v>
                </c:pt>
                <c:pt idx="34">
                  <c:v>7.434325000000003</c:v>
                </c:pt>
                <c:pt idx="35">
                  <c:v>7.3638250000000003</c:v>
                </c:pt>
                <c:pt idx="36">
                  <c:v>7.1633249999999986</c:v>
                </c:pt>
                <c:pt idx="37">
                  <c:v>7.2070949999999998</c:v>
                </c:pt>
                <c:pt idx="38">
                  <c:v>7.2068450000000013</c:v>
                </c:pt>
                <c:pt idx="39">
                  <c:v>7.1683500000000011</c:v>
                </c:pt>
                <c:pt idx="40">
                  <c:v>7.2010999999999994</c:v>
                </c:pt>
                <c:pt idx="41">
                  <c:v>7.1885999999999992</c:v>
                </c:pt>
                <c:pt idx="42">
                  <c:v>7.1803299999999997</c:v>
                </c:pt>
                <c:pt idx="43">
                  <c:v>7.3194249999999998</c:v>
                </c:pt>
                <c:pt idx="44">
                  <c:v>7.144540000000001</c:v>
                </c:pt>
                <c:pt idx="45">
                  <c:v>7.4489100000000006</c:v>
                </c:pt>
                <c:pt idx="46">
                  <c:v>7.6954100000000025</c:v>
                </c:pt>
                <c:pt idx="47">
                  <c:v>8.3723650000000038</c:v>
                </c:pt>
                <c:pt idx="48">
                  <c:v>8.5883650000000014</c:v>
                </c:pt>
                <c:pt idx="49">
                  <c:v>8.7283700000000017</c:v>
                </c:pt>
                <c:pt idx="50">
                  <c:v>8.698870000000003</c:v>
                </c:pt>
                <c:pt idx="51">
                  <c:v>8.4893700000000045</c:v>
                </c:pt>
                <c:pt idx="52">
                  <c:v>8.5088650000000037</c:v>
                </c:pt>
                <c:pt idx="53">
                  <c:v>8.248815000000004</c:v>
                </c:pt>
                <c:pt idx="54">
                  <c:v>8.3073150000000027</c:v>
                </c:pt>
                <c:pt idx="55">
                  <c:v>8.3955650000000013</c:v>
                </c:pt>
                <c:pt idx="56">
                  <c:v>8.5445650000000022</c:v>
                </c:pt>
                <c:pt idx="57">
                  <c:v>8.7220600000000026</c:v>
                </c:pt>
                <c:pt idx="58">
                  <c:v>8.8453100000000013</c:v>
                </c:pt>
                <c:pt idx="59">
                  <c:v>8.7983100000000025</c:v>
                </c:pt>
                <c:pt idx="60">
                  <c:v>8.5703100000000028</c:v>
                </c:pt>
                <c:pt idx="61">
                  <c:v>8.6203050000000037</c:v>
                </c:pt>
                <c:pt idx="62">
                  <c:v>8.5635550000000045</c:v>
                </c:pt>
                <c:pt idx="63">
                  <c:v>8.3775550000000027</c:v>
                </c:pt>
                <c:pt idx="64">
                  <c:v>8.0215550000000029</c:v>
                </c:pt>
                <c:pt idx="65">
                  <c:v>7.3360550000000035</c:v>
                </c:pt>
                <c:pt idx="66">
                  <c:v>6.8294550000000029</c:v>
                </c:pt>
                <c:pt idx="67">
                  <c:v>5.9361350000000019</c:v>
                </c:pt>
                <c:pt idx="68">
                  <c:v>5.6766350000000028</c:v>
                </c:pt>
                <c:pt idx="69">
                  <c:v>5.6311350000000022</c:v>
                </c:pt>
                <c:pt idx="70">
                  <c:v>5.7141350000000006</c:v>
                </c:pt>
                <c:pt idx="71">
                  <c:v>5.7676350000000003</c:v>
                </c:pt>
                <c:pt idx="72">
                  <c:v>5.8381399999999983</c:v>
                </c:pt>
                <c:pt idx="73">
                  <c:v>5.7888900000000003</c:v>
                </c:pt>
                <c:pt idx="74">
                  <c:v>5.5978900000000014</c:v>
                </c:pt>
                <c:pt idx="75">
                  <c:v>5.5498850000000015</c:v>
                </c:pt>
                <c:pt idx="76">
                  <c:v>5.5278800000000006</c:v>
                </c:pt>
                <c:pt idx="77">
                  <c:v>5.2789399999999986</c:v>
                </c:pt>
                <c:pt idx="78">
                  <c:v>5.1309199999999979</c:v>
                </c:pt>
                <c:pt idx="79">
                  <c:v>5.110764999999998</c:v>
                </c:pt>
                <c:pt idx="80">
                  <c:v>5.1717649999999979</c:v>
                </c:pt>
                <c:pt idx="81">
                  <c:v>4.9832699999999992</c:v>
                </c:pt>
                <c:pt idx="82">
                  <c:v>4.9130199999999977</c:v>
                </c:pt>
                <c:pt idx="83">
                  <c:v>5.0328199999999965</c:v>
                </c:pt>
                <c:pt idx="84">
                  <c:v>4.8738199999999967</c:v>
                </c:pt>
                <c:pt idx="85">
                  <c:v>4.7803199999999961</c:v>
                </c:pt>
                <c:pt idx="86">
                  <c:v>4.6189199999999939</c:v>
                </c:pt>
                <c:pt idx="87">
                  <c:v>4.5874199999999972</c:v>
                </c:pt>
                <c:pt idx="88">
                  <c:v>4.6574199999999992</c:v>
                </c:pt>
                <c:pt idx="89">
                  <c:v>4.4449200000000006</c:v>
                </c:pt>
                <c:pt idx="90">
                  <c:v>4.4419200000000005</c:v>
                </c:pt>
                <c:pt idx="91">
                  <c:v>4.3869200000000017</c:v>
                </c:pt>
                <c:pt idx="92">
                  <c:v>4.1464200000000018</c:v>
                </c:pt>
                <c:pt idx="93">
                  <c:v>4.2686349999999988</c:v>
                </c:pt>
                <c:pt idx="94">
                  <c:v>4.255374999999999</c:v>
                </c:pt>
                <c:pt idx="95">
                  <c:v>4.2708800000000009</c:v>
                </c:pt>
                <c:pt idx="96">
                  <c:v>4.354885000000003</c:v>
                </c:pt>
                <c:pt idx="97">
                  <c:v>4.6553300000000046</c:v>
                </c:pt>
                <c:pt idx="98">
                  <c:v>4.7478450000000034</c:v>
                </c:pt>
                <c:pt idx="99">
                  <c:v>4.8730000000000047</c:v>
                </c:pt>
                <c:pt idx="100">
                  <c:v>4.7572500000000044</c:v>
                </c:pt>
                <c:pt idx="101">
                  <c:v>4.7692500000000049</c:v>
                </c:pt>
                <c:pt idx="102">
                  <c:v>4.8587500000000059</c:v>
                </c:pt>
                <c:pt idx="103">
                  <c:v>4.7723550000000072</c:v>
                </c:pt>
                <c:pt idx="104">
                  <c:v>4.7878550000000075</c:v>
                </c:pt>
                <c:pt idx="105">
                  <c:v>4.8983550000000093</c:v>
                </c:pt>
                <c:pt idx="106">
                  <c:v>5.0208150000000105</c:v>
                </c:pt>
                <c:pt idx="107">
                  <c:v>5.1948150000000082</c:v>
                </c:pt>
                <c:pt idx="108">
                  <c:v>5.0053150000000075</c:v>
                </c:pt>
                <c:pt idx="109">
                  <c:v>5.0943150000000061</c:v>
                </c:pt>
                <c:pt idx="110">
                  <c:v>4.9878150000000065</c:v>
                </c:pt>
                <c:pt idx="111">
                  <c:v>4.9870650000000065</c:v>
                </c:pt>
                <c:pt idx="112">
                  <c:v>4.9578100000000065</c:v>
                </c:pt>
                <c:pt idx="113">
                  <c:v>4.8660950000000067</c:v>
                </c:pt>
                <c:pt idx="114">
                  <c:v>4.8044350000000069</c:v>
                </c:pt>
                <c:pt idx="115">
                  <c:v>4.8529350000000049</c:v>
                </c:pt>
                <c:pt idx="116">
                  <c:v>4.6744350000000052</c:v>
                </c:pt>
                <c:pt idx="117">
                  <c:v>4.3874350000000053</c:v>
                </c:pt>
                <c:pt idx="118">
                  <c:v>4.4229400000000059</c:v>
                </c:pt>
                <c:pt idx="119">
                  <c:v>4.5548700000000055</c:v>
                </c:pt>
                <c:pt idx="120">
                  <c:v>4.6401200000000049</c:v>
                </c:pt>
                <c:pt idx="121">
                  <c:v>4.6296200000000027</c:v>
                </c:pt>
                <c:pt idx="122">
                  <c:v>4.6281150000000029</c:v>
                </c:pt>
                <c:pt idx="123">
                  <c:v>4.5317100000000039</c:v>
                </c:pt>
                <c:pt idx="124">
                  <c:v>4.7557100000000032</c:v>
                </c:pt>
                <c:pt idx="125">
                  <c:v>4.8281650000000012</c:v>
                </c:pt>
                <c:pt idx="126">
                  <c:v>4.7837050000000021</c:v>
                </c:pt>
                <c:pt idx="127">
                  <c:v>4.6679550000000019</c:v>
                </c:pt>
                <c:pt idx="128">
                  <c:v>4.7714550000000004</c:v>
                </c:pt>
                <c:pt idx="129">
                  <c:v>4.7432050000000006</c:v>
                </c:pt>
                <c:pt idx="130">
                  <c:v>4.909205</c:v>
                </c:pt>
                <c:pt idx="131">
                  <c:v>5.1709549999999993</c:v>
                </c:pt>
                <c:pt idx="132">
                  <c:v>5.2297099999999999</c:v>
                </c:pt>
                <c:pt idx="133">
                  <c:v>5.2617650000000014</c:v>
                </c:pt>
                <c:pt idx="134">
                  <c:v>5.3029350000000006</c:v>
                </c:pt>
                <c:pt idx="135">
                  <c:v>5.2484350000000006</c:v>
                </c:pt>
                <c:pt idx="136">
                  <c:v>5.1961449999999987</c:v>
                </c:pt>
                <c:pt idx="137">
                  <c:v>5.1816449999999987</c:v>
                </c:pt>
                <c:pt idx="138">
                  <c:v>4.9766449999999995</c:v>
                </c:pt>
                <c:pt idx="139">
                  <c:v>4.7042149999999978</c:v>
                </c:pt>
                <c:pt idx="140">
                  <c:v>4.6547149999999986</c:v>
                </c:pt>
                <c:pt idx="141">
                  <c:v>4.5919649999999992</c:v>
                </c:pt>
                <c:pt idx="142">
                  <c:v>4.5829699999999987</c:v>
                </c:pt>
                <c:pt idx="143">
                  <c:v>4.6259699999999979</c:v>
                </c:pt>
                <c:pt idx="144">
                  <c:v>4.3634699999999969</c:v>
                </c:pt>
                <c:pt idx="145">
                  <c:v>4.2570099999999984</c:v>
                </c:pt>
                <c:pt idx="146">
                  <c:v>4.2235099999999992</c:v>
                </c:pt>
                <c:pt idx="147">
                  <c:v>4.2752599999999985</c:v>
                </c:pt>
                <c:pt idx="148">
                  <c:v>4.3447599999999991</c:v>
                </c:pt>
                <c:pt idx="149">
                  <c:v>4.2175099999999999</c:v>
                </c:pt>
                <c:pt idx="150">
                  <c:v>4.3325099999999992</c:v>
                </c:pt>
                <c:pt idx="151">
                  <c:v>4.1990099999999995</c:v>
                </c:pt>
                <c:pt idx="152">
                  <c:v>4.2450099999999988</c:v>
                </c:pt>
                <c:pt idx="153">
                  <c:v>4.1574549999999988</c:v>
                </c:pt>
                <c:pt idx="154">
                  <c:v>4.2297049999999983</c:v>
                </c:pt>
                <c:pt idx="155">
                  <c:v>4.2897049999999997</c:v>
                </c:pt>
                <c:pt idx="156">
                  <c:v>4.3539950000000003</c:v>
                </c:pt>
                <c:pt idx="157">
                  <c:v>4.3847150000000017</c:v>
                </c:pt>
                <c:pt idx="158">
                  <c:v>4.6791950000000018</c:v>
                </c:pt>
                <c:pt idx="159">
                  <c:v>4.6981950000000028</c:v>
                </c:pt>
                <c:pt idx="160">
                  <c:v>4.840695000000002</c:v>
                </c:pt>
                <c:pt idx="161">
                  <c:v>4.8855050000000038</c:v>
                </c:pt>
                <c:pt idx="162">
                  <c:v>4.9730000000000034</c:v>
                </c:pt>
                <c:pt idx="163">
                  <c:v>5.4291000000000027</c:v>
                </c:pt>
                <c:pt idx="164">
                  <c:v>5.7401000000000035</c:v>
                </c:pt>
                <c:pt idx="165">
                  <c:v>5.8701050000000023</c:v>
                </c:pt>
                <c:pt idx="166">
                  <c:v>5.9803550000000012</c:v>
                </c:pt>
                <c:pt idx="167">
                  <c:v>6.0603550000000013</c:v>
                </c:pt>
                <c:pt idx="168">
                  <c:v>6.0263550000000006</c:v>
                </c:pt>
                <c:pt idx="169">
                  <c:v>6.1483549999999996</c:v>
                </c:pt>
                <c:pt idx="170">
                  <c:v>5.8243549999999997</c:v>
                </c:pt>
                <c:pt idx="171">
                  <c:v>5.9232299999999984</c:v>
                </c:pt>
                <c:pt idx="172">
                  <c:v>6.0335799999999979</c:v>
                </c:pt>
                <c:pt idx="173">
                  <c:v>6.2295799999999968</c:v>
                </c:pt>
                <c:pt idx="174">
                  <c:v>6.6325799999999973</c:v>
                </c:pt>
                <c:pt idx="175">
                  <c:v>6.7700749999999985</c:v>
                </c:pt>
                <c:pt idx="176">
                  <c:v>6.8397299999999976</c:v>
                </c:pt>
                <c:pt idx="177">
                  <c:v>7.0645099999999958</c:v>
                </c:pt>
                <c:pt idx="178">
                  <c:v>6.991029999999995</c:v>
                </c:pt>
                <c:pt idx="179">
                  <c:v>7.1820299999999921</c:v>
                </c:pt>
                <c:pt idx="180">
                  <c:v>7.0935299999999923</c:v>
                </c:pt>
                <c:pt idx="181">
                  <c:v>7.077469999999991</c:v>
                </c:pt>
                <c:pt idx="182">
                  <c:v>7.150974999999991</c:v>
                </c:pt>
                <c:pt idx="183">
                  <c:v>7.5977149999999911</c:v>
                </c:pt>
                <c:pt idx="184">
                  <c:v>8.5877149999999922</c:v>
                </c:pt>
                <c:pt idx="185">
                  <c:v>8.8017149999999926</c:v>
                </c:pt>
                <c:pt idx="186">
                  <c:v>8.9234649999999931</c:v>
                </c:pt>
                <c:pt idx="187">
                  <c:v>8.9419649999999926</c:v>
                </c:pt>
                <c:pt idx="188">
                  <c:v>9.0909649999999935</c:v>
                </c:pt>
                <c:pt idx="189">
                  <c:v>9.3834649999999957</c:v>
                </c:pt>
                <c:pt idx="190">
                  <c:v>9.5965199999999946</c:v>
                </c:pt>
                <c:pt idx="191">
                  <c:v>9.5671449999999965</c:v>
                </c:pt>
                <c:pt idx="192">
                  <c:v>9.5552949999999974</c:v>
                </c:pt>
                <c:pt idx="193">
                  <c:v>9.9322949999999999</c:v>
                </c:pt>
                <c:pt idx="194">
                  <c:v>9.6565399999999979</c:v>
                </c:pt>
                <c:pt idx="195">
                  <c:v>9.5520449999999961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3F-4820-B894-67E5BA107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5334031"/>
        <c:axId val="1185333551"/>
      </c:lineChart>
      <c:dateAx>
        <c:axId val="118533403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333551"/>
        <c:crosses val="autoZero"/>
        <c:auto val="1"/>
        <c:lblOffset val="100"/>
        <c:baseTimeUnit val="days"/>
      </c:dateAx>
      <c:valAx>
        <c:axId val="118533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33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'Tunisia Stocks'!$B$1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Stocks'!$B$2:$B$418</c:f>
              <c:numCache>
                <c:formatCode>General</c:formatCode>
                <c:ptCount val="417"/>
                <c:pt idx="0">
                  <c:v>93.9</c:v>
                </c:pt>
                <c:pt idx="1">
                  <c:v>93.5</c:v>
                </c:pt>
                <c:pt idx="2">
                  <c:v>93.69</c:v>
                </c:pt>
                <c:pt idx="3">
                  <c:v>93.5</c:v>
                </c:pt>
                <c:pt idx="4">
                  <c:v>93.7</c:v>
                </c:pt>
                <c:pt idx="5">
                  <c:v>93.99</c:v>
                </c:pt>
                <c:pt idx="6">
                  <c:v>93.99</c:v>
                </c:pt>
                <c:pt idx="7">
                  <c:v>94</c:v>
                </c:pt>
                <c:pt idx="8">
                  <c:v>94.99</c:v>
                </c:pt>
                <c:pt idx="9">
                  <c:v>97</c:v>
                </c:pt>
                <c:pt idx="10">
                  <c:v>96.85</c:v>
                </c:pt>
                <c:pt idx="11">
                  <c:v>96.5</c:v>
                </c:pt>
                <c:pt idx="12">
                  <c:v>96.5</c:v>
                </c:pt>
                <c:pt idx="13">
                  <c:v>97</c:v>
                </c:pt>
                <c:pt idx="14">
                  <c:v>96.8</c:v>
                </c:pt>
                <c:pt idx="15">
                  <c:v>98.4</c:v>
                </c:pt>
                <c:pt idx="16">
                  <c:v>98.9</c:v>
                </c:pt>
                <c:pt idx="17">
                  <c:v>98</c:v>
                </c:pt>
                <c:pt idx="18">
                  <c:v>97.8</c:v>
                </c:pt>
                <c:pt idx="19">
                  <c:v>97.4</c:v>
                </c:pt>
                <c:pt idx="20">
                  <c:v>97.7</c:v>
                </c:pt>
                <c:pt idx="21">
                  <c:v>97</c:v>
                </c:pt>
                <c:pt idx="22">
                  <c:v>97</c:v>
                </c:pt>
                <c:pt idx="23">
                  <c:v>96.98</c:v>
                </c:pt>
                <c:pt idx="24">
                  <c:v>96.9</c:v>
                </c:pt>
                <c:pt idx="25">
                  <c:v>96.45</c:v>
                </c:pt>
                <c:pt idx="26">
                  <c:v>96.99</c:v>
                </c:pt>
                <c:pt idx="27">
                  <c:v>97.4</c:v>
                </c:pt>
                <c:pt idx="28">
                  <c:v>97.03</c:v>
                </c:pt>
                <c:pt idx="29">
                  <c:v>97.15</c:v>
                </c:pt>
                <c:pt idx="30">
                  <c:v>97.4</c:v>
                </c:pt>
                <c:pt idx="31">
                  <c:v>97.5</c:v>
                </c:pt>
                <c:pt idx="32">
                  <c:v>97.5</c:v>
                </c:pt>
                <c:pt idx="33">
                  <c:v>98.5</c:v>
                </c:pt>
                <c:pt idx="34">
                  <c:v>98.89</c:v>
                </c:pt>
                <c:pt idx="35">
                  <c:v>98.9</c:v>
                </c:pt>
                <c:pt idx="36">
                  <c:v>99.5</c:v>
                </c:pt>
                <c:pt idx="37">
                  <c:v>99</c:v>
                </c:pt>
                <c:pt idx="38">
                  <c:v>98.71</c:v>
                </c:pt>
                <c:pt idx="39">
                  <c:v>98.9</c:v>
                </c:pt>
                <c:pt idx="40">
                  <c:v>99.7</c:v>
                </c:pt>
                <c:pt idx="41">
                  <c:v>99.9</c:v>
                </c:pt>
                <c:pt idx="42">
                  <c:v>101</c:v>
                </c:pt>
                <c:pt idx="43">
                  <c:v>103.5</c:v>
                </c:pt>
                <c:pt idx="44">
                  <c:v>103</c:v>
                </c:pt>
                <c:pt idx="45">
                  <c:v>103.25</c:v>
                </c:pt>
                <c:pt idx="46">
                  <c:v>101</c:v>
                </c:pt>
                <c:pt idx="47">
                  <c:v>100.99</c:v>
                </c:pt>
                <c:pt idx="48">
                  <c:v>100.1</c:v>
                </c:pt>
                <c:pt idx="49">
                  <c:v>101</c:v>
                </c:pt>
                <c:pt idx="50">
                  <c:v>101.9</c:v>
                </c:pt>
                <c:pt idx="51">
                  <c:v>100.6</c:v>
                </c:pt>
                <c:pt idx="52">
                  <c:v>100.59</c:v>
                </c:pt>
                <c:pt idx="53">
                  <c:v>99.9</c:v>
                </c:pt>
                <c:pt idx="54">
                  <c:v>99.72</c:v>
                </c:pt>
                <c:pt idx="55">
                  <c:v>99.7</c:v>
                </c:pt>
                <c:pt idx="56">
                  <c:v>98.9</c:v>
                </c:pt>
                <c:pt idx="57">
                  <c:v>98.9</c:v>
                </c:pt>
                <c:pt idx="58">
                  <c:v>98.66</c:v>
                </c:pt>
                <c:pt idx="59">
                  <c:v>98.9</c:v>
                </c:pt>
                <c:pt idx="60">
                  <c:v>98.5</c:v>
                </c:pt>
                <c:pt idx="61">
                  <c:v>98.5</c:v>
                </c:pt>
                <c:pt idx="62">
                  <c:v>98.5</c:v>
                </c:pt>
                <c:pt idx="63">
                  <c:v>98.85</c:v>
                </c:pt>
                <c:pt idx="64">
                  <c:v>98</c:v>
                </c:pt>
                <c:pt idx="65">
                  <c:v>98.6</c:v>
                </c:pt>
                <c:pt idx="66">
                  <c:v>98.6</c:v>
                </c:pt>
                <c:pt idx="67">
                  <c:v>98.98</c:v>
                </c:pt>
                <c:pt idx="68">
                  <c:v>99.2</c:v>
                </c:pt>
                <c:pt idx="69">
                  <c:v>99.99</c:v>
                </c:pt>
                <c:pt idx="70">
                  <c:v>99.99</c:v>
                </c:pt>
                <c:pt idx="71">
                  <c:v>101.99</c:v>
                </c:pt>
                <c:pt idx="72">
                  <c:v>100.99</c:v>
                </c:pt>
                <c:pt idx="73">
                  <c:v>101.87</c:v>
                </c:pt>
                <c:pt idx="74">
                  <c:v>101.87</c:v>
                </c:pt>
                <c:pt idx="75">
                  <c:v>102</c:v>
                </c:pt>
                <c:pt idx="76">
                  <c:v>103</c:v>
                </c:pt>
                <c:pt idx="77">
                  <c:v>102.49</c:v>
                </c:pt>
                <c:pt idx="78">
                  <c:v>102.49</c:v>
                </c:pt>
                <c:pt idx="79">
                  <c:v>103.4</c:v>
                </c:pt>
                <c:pt idx="80">
                  <c:v>103</c:v>
                </c:pt>
                <c:pt idx="81">
                  <c:v>103.5</c:v>
                </c:pt>
                <c:pt idx="82">
                  <c:v>103.5</c:v>
                </c:pt>
                <c:pt idx="83">
                  <c:v>103.47</c:v>
                </c:pt>
                <c:pt idx="84">
                  <c:v>103.47</c:v>
                </c:pt>
                <c:pt idx="85">
                  <c:v>103.4</c:v>
                </c:pt>
                <c:pt idx="86">
                  <c:v>103.45</c:v>
                </c:pt>
                <c:pt idx="87">
                  <c:v>97.3</c:v>
                </c:pt>
                <c:pt idx="88">
                  <c:v>97.1</c:v>
                </c:pt>
                <c:pt idx="89">
                  <c:v>97</c:v>
                </c:pt>
                <c:pt idx="90">
                  <c:v>96.98</c:v>
                </c:pt>
                <c:pt idx="91">
                  <c:v>97.1</c:v>
                </c:pt>
                <c:pt idx="92">
                  <c:v>96.9</c:v>
                </c:pt>
                <c:pt idx="93">
                  <c:v>94.8</c:v>
                </c:pt>
                <c:pt idx="94">
                  <c:v>96.99</c:v>
                </c:pt>
                <c:pt idx="95">
                  <c:v>97</c:v>
                </c:pt>
                <c:pt idx="96">
                  <c:v>97</c:v>
                </c:pt>
                <c:pt idx="97">
                  <c:v>96.98</c:v>
                </c:pt>
                <c:pt idx="98">
                  <c:v>96.5</c:v>
                </c:pt>
                <c:pt idx="99">
                  <c:v>96.4</c:v>
                </c:pt>
                <c:pt idx="100">
                  <c:v>95.8</c:v>
                </c:pt>
                <c:pt idx="101">
                  <c:v>94.5</c:v>
                </c:pt>
                <c:pt idx="102">
                  <c:v>94.5</c:v>
                </c:pt>
                <c:pt idx="103">
                  <c:v>94</c:v>
                </c:pt>
                <c:pt idx="104">
                  <c:v>94.2</c:v>
                </c:pt>
                <c:pt idx="105">
                  <c:v>94.1</c:v>
                </c:pt>
                <c:pt idx="106">
                  <c:v>94</c:v>
                </c:pt>
                <c:pt idx="107">
                  <c:v>94.08</c:v>
                </c:pt>
                <c:pt idx="108">
                  <c:v>93.49</c:v>
                </c:pt>
                <c:pt idx="109">
                  <c:v>93.3</c:v>
                </c:pt>
                <c:pt idx="110">
                  <c:v>92</c:v>
                </c:pt>
                <c:pt idx="111">
                  <c:v>90.65</c:v>
                </c:pt>
                <c:pt idx="112">
                  <c:v>90.5</c:v>
                </c:pt>
                <c:pt idx="113">
                  <c:v>90.2</c:v>
                </c:pt>
                <c:pt idx="114">
                  <c:v>92.99</c:v>
                </c:pt>
                <c:pt idx="115">
                  <c:v>92.79</c:v>
                </c:pt>
                <c:pt idx="116">
                  <c:v>92.02</c:v>
                </c:pt>
                <c:pt idx="117">
                  <c:v>94</c:v>
                </c:pt>
                <c:pt idx="118">
                  <c:v>94</c:v>
                </c:pt>
                <c:pt idx="119">
                  <c:v>94.15</c:v>
                </c:pt>
                <c:pt idx="120">
                  <c:v>94</c:v>
                </c:pt>
                <c:pt idx="121">
                  <c:v>94</c:v>
                </c:pt>
                <c:pt idx="122">
                  <c:v>94</c:v>
                </c:pt>
                <c:pt idx="123">
                  <c:v>94</c:v>
                </c:pt>
                <c:pt idx="124">
                  <c:v>94</c:v>
                </c:pt>
                <c:pt idx="125">
                  <c:v>94</c:v>
                </c:pt>
                <c:pt idx="126">
                  <c:v>94</c:v>
                </c:pt>
                <c:pt idx="127">
                  <c:v>94</c:v>
                </c:pt>
                <c:pt idx="128">
                  <c:v>93.9</c:v>
                </c:pt>
                <c:pt idx="129">
                  <c:v>94</c:v>
                </c:pt>
                <c:pt idx="130">
                  <c:v>94</c:v>
                </c:pt>
                <c:pt idx="131">
                  <c:v>94.98</c:v>
                </c:pt>
                <c:pt idx="132">
                  <c:v>94.5</c:v>
                </c:pt>
                <c:pt idx="133">
                  <c:v>94.4</c:v>
                </c:pt>
                <c:pt idx="134">
                  <c:v>94.4</c:v>
                </c:pt>
                <c:pt idx="135">
                  <c:v>94.6</c:v>
                </c:pt>
                <c:pt idx="136">
                  <c:v>93.8</c:v>
                </c:pt>
                <c:pt idx="137">
                  <c:v>94.3</c:v>
                </c:pt>
                <c:pt idx="138">
                  <c:v>94.2</c:v>
                </c:pt>
                <c:pt idx="139">
                  <c:v>94.2</c:v>
                </c:pt>
                <c:pt idx="140">
                  <c:v>93.8</c:v>
                </c:pt>
                <c:pt idx="141">
                  <c:v>94</c:v>
                </c:pt>
                <c:pt idx="142">
                  <c:v>94</c:v>
                </c:pt>
                <c:pt idx="143">
                  <c:v>94</c:v>
                </c:pt>
                <c:pt idx="144">
                  <c:v>93.95</c:v>
                </c:pt>
                <c:pt idx="145">
                  <c:v>93.9</c:v>
                </c:pt>
                <c:pt idx="146">
                  <c:v>93.9</c:v>
                </c:pt>
                <c:pt idx="147">
                  <c:v>93.9</c:v>
                </c:pt>
                <c:pt idx="148">
                  <c:v>93.9</c:v>
                </c:pt>
                <c:pt idx="149">
                  <c:v>93.85</c:v>
                </c:pt>
                <c:pt idx="150">
                  <c:v>93.7</c:v>
                </c:pt>
                <c:pt idx="151">
                  <c:v>93.7</c:v>
                </c:pt>
                <c:pt idx="152">
                  <c:v>93.68</c:v>
                </c:pt>
                <c:pt idx="153">
                  <c:v>93.7</c:v>
                </c:pt>
                <c:pt idx="154">
                  <c:v>93.79</c:v>
                </c:pt>
                <c:pt idx="155">
                  <c:v>93.9</c:v>
                </c:pt>
                <c:pt idx="156">
                  <c:v>93.9</c:v>
                </c:pt>
                <c:pt idx="157">
                  <c:v>94</c:v>
                </c:pt>
                <c:pt idx="158">
                  <c:v>93.92</c:v>
                </c:pt>
                <c:pt idx="159">
                  <c:v>93.71</c:v>
                </c:pt>
                <c:pt idx="160">
                  <c:v>94</c:v>
                </c:pt>
                <c:pt idx="161">
                  <c:v>94</c:v>
                </c:pt>
                <c:pt idx="162">
                  <c:v>94</c:v>
                </c:pt>
                <c:pt idx="163">
                  <c:v>94</c:v>
                </c:pt>
                <c:pt idx="164">
                  <c:v>93.75</c:v>
                </c:pt>
                <c:pt idx="165">
                  <c:v>95.5</c:v>
                </c:pt>
                <c:pt idx="166">
                  <c:v>95.39</c:v>
                </c:pt>
                <c:pt idx="167">
                  <c:v>94.7</c:v>
                </c:pt>
                <c:pt idx="168">
                  <c:v>96</c:v>
                </c:pt>
                <c:pt idx="169">
                  <c:v>95.79</c:v>
                </c:pt>
                <c:pt idx="170">
                  <c:v>97.9</c:v>
                </c:pt>
                <c:pt idx="171">
                  <c:v>97.69</c:v>
                </c:pt>
                <c:pt idx="172">
                  <c:v>97.68</c:v>
                </c:pt>
                <c:pt idx="173">
                  <c:v>98.89</c:v>
                </c:pt>
                <c:pt idx="174">
                  <c:v>101</c:v>
                </c:pt>
                <c:pt idx="175">
                  <c:v>101</c:v>
                </c:pt>
                <c:pt idx="176">
                  <c:v>101</c:v>
                </c:pt>
                <c:pt idx="177">
                  <c:v>101</c:v>
                </c:pt>
                <c:pt idx="178">
                  <c:v>100.84</c:v>
                </c:pt>
                <c:pt idx="179">
                  <c:v>101.24</c:v>
                </c:pt>
                <c:pt idx="180">
                  <c:v>101.9</c:v>
                </c:pt>
                <c:pt idx="181">
                  <c:v>102.95</c:v>
                </c:pt>
                <c:pt idx="182">
                  <c:v>103.6</c:v>
                </c:pt>
                <c:pt idx="183">
                  <c:v>103</c:v>
                </c:pt>
                <c:pt idx="184">
                  <c:v>103</c:v>
                </c:pt>
                <c:pt idx="185">
                  <c:v>102.94</c:v>
                </c:pt>
                <c:pt idx="186">
                  <c:v>102</c:v>
                </c:pt>
                <c:pt idx="187">
                  <c:v>102.69</c:v>
                </c:pt>
                <c:pt idx="188">
                  <c:v>101.99</c:v>
                </c:pt>
                <c:pt idx="189">
                  <c:v>101</c:v>
                </c:pt>
                <c:pt idx="190">
                  <c:v>101.4</c:v>
                </c:pt>
                <c:pt idx="191">
                  <c:v>101.4</c:v>
                </c:pt>
                <c:pt idx="192">
                  <c:v>101.97</c:v>
                </c:pt>
                <c:pt idx="193">
                  <c:v>101.94</c:v>
                </c:pt>
                <c:pt idx="194">
                  <c:v>101.1</c:v>
                </c:pt>
                <c:pt idx="195">
                  <c:v>101.1</c:v>
                </c:pt>
                <c:pt idx="196">
                  <c:v>101.05</c:v>
                </c:pt>
                <c:pt idx="197">
                  <c:v>101.05</c:v>
                </c:pt>
                <c:pt idx="198">
                  <c:v>102.8</c:v>
                </c:pt>
                <c:pt idx="199">
                  <c:v>103.8</c:v>
                </c:pt>
                <c:pt idx="200">
                  <c:v>103.7</c:v>
                </c:pt>
                <c:pt idx="201">
                  <c:v>103.4</c:v>
                </c:pt>
                <c:pt idx="202">
                  <c:v>103.9</c:v>
                </c:pt>
                <c:pt idx="203">
                  <c:v>103.95</c:v>
                </c:pt>
                <c:pt idx="204">
                  <c:v>104.2</c:v>
                </c:pt>
                <c:pt idx="205">
                  <c:v>105.48</c:v>
                </c:pt>
                <c:pt idx="206">
                  <c:v>105.4</c:v>
                </c:pt>
                <c:pt idx="207">
                  <c:v>105.5</c:v>
                </c:pt>
                <c:pt idx="208">
                  <c:v>106.94</c:v>
                </c:pt>
                <c:pt idx="209">
                  <c:v>107.5</c:v>
                </c:pt>
                <c:pt idx="210">
                  <c:v>108</c:v>
                </c:pt>
                <c:pt idx="211">
                  <c:v>108.6</c:v>
                </c:pt>
                <c:pt idx="212">
                  <c:v>108.8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1-425C-92E7-100748748849}"/>
            </c:ext>
          </c:extLst>
        </c:ser>
        <c:ser>
          <c:idx val="1"/>
          <c:order val="1"/>
          <c:tx>
            <c:strRef>
              <c:f>'Tunisia Stocks'!$H$1</c:f>
              <c:strCache>
                <c:ptCount val="1"/>
                <c:pt idx="0">
                  <c:v> 20 Day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Stocks'!$H$2:$H$418</c:f>
              <c:numCache>
                <c:formatCode>_(* #,##0.00_);_(* \(#,##0.00\);_(* "-"??_);_(@_)</c:formatCode>
                <c:ptCount val="417"/>
                <c:pt idx="19">
                  <c:v>95.82050000000001</c:v>
                </c:pt>
                <c:pt idx="20">
                  <c:v>96.010500000000008</c:v>
                </c:pt>
                <c:pt idx="21">
                  <c:v>96.185500000000019</c:v>
                </c:pt>
                <c:pt idx="22">
                  <c:v>96.351000000000013</c:v>
                </c:pt>
                <c:pt idx="23">
                  <c:v>96.52500000000002</c:v>
                </c:pt>
                <c:pt idx="24">
                  <c:v>96.685000000000016</c:v>
                </c:pt>
                <c:pt idx="25">
                  <c:v>96.808000000000021</c:v>
                </c:pt>
                <c:pt idx="26">
                  <c:v>96.958000000000013</c:v>
                </c:pt>
                <c:pt idx="27">
                  <c:v>97.128000000000014</c:v>
                </c:pt>
                <c:pt idx="28">
                  <c:v>97.23</c:v>
                </c:pt>
                <c:pt idx="29">
                  <c:v>97.237500000000011</c:v>
                </c:pt>
                <c:pt idx="30">
                  <c:v>97.265000000000015</c:v>
                </c:pt>
                <c:pt idx="31">
                  <c:v>97.315000000000026</c:v>
                </c:pt>
                <c:pt idx="32">
                  <c:v>97.365000000000023</c:v>
                </c:pt>
                <c:pt idx="33">
                  <c:v>97.440000000000026</c:v>
                </c:pt>
                <c:pt idx="34">
                  <c:v>97.544500000000014</c:v>
                </c:pt>
                <c:pt idx="35">
                  <c:v>97.569500000000019</c:v>
                </c:pt>
                <c:pt idx="36">
                  <c:v>97.59950000000002</c:v>
                </c:pt>
                <c:pt idx="37">
                  <c:v>97.649500000000018</c:v>
                </c:pt>
                <c:pt idx="38">
                  <c:v>97.695000000000022</c:v>
                </c:pt>
                <c:pt idx="39">
                  <c:v>97.77000000000001</c:v>
                </c:pt>
                <c:pt idx="40">
                  <c:v>97.87</c:v>
                </c:pt>
                <c:pt idx="41">
                  <c:v>98.015000000000015</c:v>
                </c:pt>
                <c:pt idx="42">
                  <c:v>98.215000000000018</c:v>
                </c:pt>
                <c:pt idx="43">
                  <c:v>98.541000000000025</c:v>
                </c:pt>
                <c:pt idx="44">
                  <c:v>98.846000000000018</c:v>
                </c:pt>
                <c:pt idx="45">
                  <c:v>99.186000000000007</c:v>
                </c:pt>
                <c:pt idx="46">
                  <c:v>99.386500000000012</c:v>
                </c:pt>
                <c:pt idx="47">
                  <c:v>99.566000000000003</c:v>
                </c:pt>
                <c:pt idx="48">
                  <c:v>99.719500000000011</c:v>
                </c:pt>
                <c:pt idx="49">
                  <c:v>99.912000000000006</c:v>
                </c:pt>
                <c:pt idx="50">
                  <c:v>100.137</c:v>
                </c:pt>
                <c:pt idx="51">
                  <c:v>100.292</c:v>
                </c:pt>
                <c:pt idx="52">
                  <c:v>100.44649999999999</c:v>
                </c:pt>
                <c:pt idx="53">
                  <c:v>100.51649999999999</c:v>
                </c:pt>
                <c:pt idx="54">
                  <c:v>100.55800000000001</c:v>
                </c:pt>
                <c:pt idx="55">
                  <c:v>100.598</c:v>
                </c:pt>
                <c:pt idx="56">
                  <c:v>100.56800000000001</c:v>
                </c:pt>
                <c:pt idx="57">
                  <c:v>100.56300000000002</c:v>
                </c:pt>
                <c:pt idx="58">
                  <c:v>100.56050000000002</c:v>
                </c:pt>
                <c:pt idx="59">
                  <c:v>100.56050000000002</c:v>
                </c:pt>
                <c:pt idx="60">
                  <c:v>100.50050000000002</c:v>
                </c:pt>
                <c:pt idx="61">
                  <c:v>100.43050000000002</c:v>
                </c:pt>
                <c:pt idx="62">
                  <c:v>100.30550000000002</c:v>
                </c:pt>
                <c:pt idx="63">
                  <c:v>100.07300000000001</c:v>
                </c:pt>
                <c:pt idx="64">
                  <c:v>99.823000000000008</c:v>
                </c:pt>
                <c:pt idx="65">
                  <c:v>99.590500000000006</c:v>
                </c:pt>
                <c:pt idx="66">
                  <c:v>99.470500000000001</c:v>
                </c:pt>
                <c:pt idx="67">
                  <c:v>99.36999999999999</c:v>
                </c:pt>
                <c:pt idx="68">
                  <c:v>99.324999999999989</c:v>
                </c:pt>
                <c:pt idx="69">
                  <c:v>99.274499999999989</c:v>
                </c:pt>
                <c:pt idx="70">
                  <c:v>99.178999999999988</c:v>
                </c:pt>
                <c:pt idx="71">
                  <c:v>99.248499999999993</c:v>
                </c:pt>
                <c:pt idx="72">
                  <c:v>99.268499999999989</c:v>
                </c:pt>
                <c:pt idx="73">
                  <c:v>99.367000000000004</c:v>
                </c:pt>
                <c:pt idx="74">
                  <c:v>99.474499999999992</c:v>
                </c:pt>
                <c:pt idx="75">
                  <c:v>99.589500000000001</c:v>
                </c:pt>
                <c:pt idx="76">
                  <c:v>99.794499999999999</c:v>
                </c:pt>
                <c:pt idx="77">
                  <c:v>99.97399999999999</c:v>
                </c:pt>
                <c:pt idx="78">
                  <c:v>100.16549999999999</c:v>
                </c:pt>
                <c:pt idx="79">
                  <c:v>100.3905</c:v>
                </c:pt>
                <c:pt idx="80">
                  <c:v>100.6155</c:v>
                </c:pt>
                <c:pt idx="81">
                  <c:v>100.8655</c:v>
                </c:pt>
                <c:pt idx="82">
                  <c:v>101.1155</c:v>
                </c:pt>
                <c:pt idx="83">
                  <c:v>101.34650000000001</c:v>
                </c:pt>
                <c:pt idx="84">
                  <c:v>101.62</c:v>
                </c:pt>
                <c:pt idx="85">
                  <c:v>101.86000000000001</c:v>
                </c:pt>
                <c:pt idx="86">
                  <c:v>102.10250000000001</c:v>
                </c:pt>
                <c:pt idx="87">
                  <c:v>102.0185</c:v>
                </c:pt>
                <c:pt idx="88">
                  <c:v>101.91350000000001</c:v>
                </c:pt>
                <c:pt idx="89">
                  <c:v>101.76400000000001</c:v>
                </c:pt>
                <c:pt idx="90">
                  <c:v>101.6135</c:v>
                </c:pt>
                <c:pt idx="91">
                  <c:v>101.369</c:v>
                </c:pt>
                <c:pt idx="92">
                  <c:v>101.1645</c:v>
                </c:pt>
                <c:pt idx="93">
                  <c:v>100.81100000000001</c:v>
                </c:pt>
                <c:pt idx="94">
                  <c:v>100.56699999999999</c:v>
                </c:pt>
                <c:pt idx="95">
                  <c:v>100.31699999999999</c:v>
                </c:pt>
                <c:pt idx="96">
                  <c:v>100.017</c:v>
                </c:pt>
                <c:pt idx="97">
                  <c:v>99.741500000000002</c:v>
                </c:pt>
                <c:pt idx="98">
                  <c:v>99.442000000000007</c:v>
                </c:pt>
                <c:pt idx="99">
                  <c:v>99.092000000000013</c:v>
                </c:pt>
                <c:pt idx="100">
                  <c:v>98.731999999999999</c:v>
                </c:pt>
                <c:pt idx="101">
                  <c:v>98.282000000000011</c:v>
                </c:pt>
                <c:pt idx="102">
                  <c:v>97.832000000000008</c:v>
                </c:pt>
                <c:pt idx="103">
                  <c:v>97.358500000000006</c:v>
                </c:pt>
                <c:pt idx="104">
                  <c:v>96.89500000000001</c:v>
                </c:pt>
                <c:pt idx="105">
                  <c:v>96.429999999999993</c:v>
                </c:pt>
                <c:pt idx="106">
                  <c:v>95.957499999999996</c:v>
                </c:pt>
                <c:pt idx="107">
                  <c:v>95.796499999999995</c:v>
                </c:pt>
                <c:pt idx="108">
                  <c:v>95.616</c:v>
                </c:pt>
                <c:pt idx="109">
                  <c:v>95.430999999999997</c:v>
                </c:pt>
                <c:pt idx="110">
                  <c:v>95.181999999999988</c:v>
                </c:pt>
                <c:pt idx="111">
                  <c:v>94.859499999999997</c:v>
                </c:pt>
                <c:pt idx="112">
                  <c:v>94.53949999999999</c:v>
                </c:pt>
                <c:pt idx="113">
                  <c:v>94.309499999999986</c:v>
                </c:pt>
                <c:pt idx="114">
                  <c:v>94.109499999999997</c:v>
                </c:pt>
                <c:pt idx="115">
                  <c:v>93.899000000000001</c:v>
                </c:pt>
                <c:pt idx="116">
                  <c:v>93.65</c:v>
                </c:pt>
                <c:pt idx="117">
                  <c:v>93.501000000000005</c:v>
                </c:pt>
                <c:pt idx="118">
                  <c:v>93.376000000000005</c:v>
                </c:pt>
                <c:pt idx="119">
                  <c:v>93.263500000000008</c:v>
                </c:pt>
                <c:pt idx="120">
                  <c:v>93.173500000000004</c:v>
                </c:pt>
                <c:pt idx="121">
                  <c:v>93.148499999999999</c:v>
                </c:pt>
                <c:pt idx="122">
                  <c:v>93.123499999999993</c:v>
                </c:pt>
                <c:pt idx="123">
                  <c:v>93.123500000000007</c:v>
                </c:pt>
                <c:pt idx="124">
                  <c:v>93.113500000000016</c:v>
                </c:pt>
                <c:pt idx="125">
                  <c:v>93.108500000000006</c:v>
                </c:pt>
                <c:pt idx="126">
                  <c:v>93.108500000000006</c:v>
                </c:pt>
                <c:pt idx="127">
                  <c:v>93.104500000000002</c:v>
                </c:pt>
                <c:pt idx="128">
                  <c:v>93.125</c:v>
                </c:pt>
                <c:pt idx="129">
                  <c:v>93.16</c:v>
                </c:pt>
                <c:pt idx="130">
                  <c:v>93.260000000000019</c:v>
                </c:pt>
                <c:pt idx="131">
                  <c:v>93.476500000000016</c:v>
                </c:pt>
                <c:pt idx="132">
                  <c:v>93.676500000000004</c:v>
                </c:pt>
                <c:pt idx="133">
                  <c:v>93.886500000000012</c:v>
                </c:pt>
                <c:pt idx="134">
                  <c:v>93.957000000000022</c:v>
                </c:pt>
                <c:pt idx="135">
                  <c:v>94.047500000000014</c:v>
                </c:pt>
                <c:pt idx="136">
                  <c:v>94.136500000000012</c:v>
                </c:pt>
                <c:pt idx="137">
                  <c:v>94.151499999999999</c:v>
                </c:pt>
                <c:pt idx="138">
                  <c:v>94.161500000000004</c:v>
                </c:pt>
                <c:pt idx="139">
                  <c:v>94.164000000000016</c:v>
                </c:pt>
                <c:pt idx="140">
                  <c:v>94.153999999999996</c:v>
                </c:pt>
                <c:pt idx="141">
                  <c:v>94.154000000000011</c:v>
                </c:pt>
                <c:pt idx="142">
                  <c:v>94.153999999999996</c:v>
                </c:pt>
                <c:pt idx="143">
                  <c:v>94.153999999999996</c:v>
                </c:pt>
                <c:pt idx="144">
                  <c:v>94.151499999999999</c:v>
                </c:pt>
                <c:pt idx="145">
                  <c:v>94.146500000000003</c:v>
                </c:pt>
                <c:pt idx="146">
                  <c:v>94.141500000000008</c:v>
                </c:pt>
                <c:pt idx="147">
                  <c:v>94.136500000000012</c:v>
                </c:pt>
                <c:pt idx="148">
                  <c:v>94.136500000000012</c:v>
                </c:pt>
                <c:pt idx="149">
                  <c:v>94.129000000000019</c:v>
                </c:pt>
                <c:pt idx="150">
                  <c:v>94.114000000000004</c:v>
                </c:pt>
                <c:pt idx="151">
                  <c:v>94.050000000000026</c:v>
                </c:pt>
                <c:pt idx="152">
                  <c:v>94.009000000000029</c:v>
                </c:pt>
                <c:pt idx="153">
                  <c:v>93.974000000000018</c:v>
                </c:pt>
                <c:pt idx="154">
                  <c:v>93.943500000000014</c:v>
                </c:pt>
                <c:pt idx="155">
                  <c:v>93.908500000000018</c:v>
                </c:pt>
                <c:pt idx="156">
                  <c:v>93.913500000000028</c:v>
                </c:pt>
                <c:pt idx="157">
                  <c:v>93.898500000000013</c:v>
                </c:pt>
                <c:pt idx="158">
                  <c:v>93.884500000000017</c:v>
                </c:pt>
                <c:pt idx="159">
                  <c:v>93.860000000000014</c:v>
                </c:pt>
                <c:pt idx="160">
                  <c:v>93.870000000000019</c:v>
                </c:pt>
                <c:pt idx="161">
                  <c:v>93.870000000000019</c:v>
                </c:pt>
                <c:pt idx="162">
                  <c:v>93.870000000000019</c:v>
                </c:pt>
                <c:pt idx="163">
                  <c:v>93.870000000000019</c:v>
                </c:pt>
                <c:pt idx="164">
                  <c:v>93.860000000000028</c:v>
                </c:pt>
                <c:pt idx="165">
                  <c:v>93.940000000000012</c:v>
                </c:pt>
                <c:pt idx="166">
                  <c:v>94.014500000000012</c:v>
                </c:pt>
                <c:pt idx="167">
                  <c:v>94.054500000000004</c:v>
                </c:pt>
                <c:pt idx="168">
                  <c:v>94.159500000000008</c:v>
                </c:pt>
                <c:pt idx="169">
                  <c:v>94.256500000000003</c:v>
                </c:pt>
                <c:pt idx="170">
                  <c:v>94.466500000000011</c:v>
                </c:pt>
                <c:pt idx="171">
                  <c:v>94.666000000000011</c:v>
                </c:pt>
                <c:pt idx="172">
                  <c:v>94.866000000000014</c:v>
                </c:pt>
                <c:pt idx="173">
                  <c:v>95.125500000000017</c:v>
                </c:pt>
                <c:pt idx="174">
                  <c:v>95.486000000000018</c:v>
                </c:pt>
                <c:pt idx="175">
                  <c:v>95.841000000000022</c:v>
                </c:pt>
                <c:pt idx="176">
                  <c:v>96.196000000000012</c:v>
                </c:pt>
                <c:pt idx="177">
                  <c:v>96.546000000000021</c:v>
                </c:pt>
                <c:pt idx="178">
                  <c:v>96.892000000000024</c:v>
                </c:pt>
                <c:pt idx="179">
                  <c:v>97.268500000000003</c:v>
                </c:pt>
                <c:pt idx="180">
                  <c:v>97.663500000000013</c:v>
                </c:pt>
                <c:pt idx="181">
                  <c:v>98.111000000000018</c:v>
                </c:pt>
                <c:pt idx="182">
                  <c:v>98.590999999999994</c:v>
                </c:pt>
                <c:pt idx="183">
                  <c:v>99.040999999999997</c:v>
                </c:pt>
                <c:pt idx="184">
                  <c:v>99.503500000000003</c:v>
                </c:pt>
                <c:pt idx="185">
                  <c:v>99.875500000000002</c:v>
                </c:pt>
                <c:pt idx="186">
                  <c:v>100.206</c:v>
                </c:pt>
                <c:pt idx="187">
                  <c:v>100.60550000000001</c:v>
                </c:pt>
                <c:pt idx="188">
                  <c:v>100.905</c:v>
                </c:pt>
                <c:pt idx="189">
                  <c:v>101.16550000000001</c:v>
                </c:pt>
                <c:pt idx="190">
                  <c:v>101.34050000000001</c:v>
                </c:pt>
                <c:pt idx="191">
                  <c:v>101.52600000000001</c:v>
                </c:pt>
                <c:pt idx="192">
                  <c:v>101.74050000000003</c:v>
                </c:pt>
                <c:pt idx="193">
                  <c:v>101.89300000000003</c:v>
                </c:pt>
                <c:pt idx="194">
                  <c:v>101.89800000000001</c:v>
                </c:pt>
                <c:pt idx="195">
                  <c:v>101.90300000000001</c:v>
                </c:pt>
                <c:pt idx="196">
                  <c:v>101.9055</c:v>
                </c:pt>
                <c:pt idx="197">
                  <c:v>101.908</c:v>
                </c:pt>
                <c:pt idx="198">
                  <c:v>102.006</c:v>
                </c:pt>
                <c:pt idx="199">
                  <c:v>102.134</c:v>
                </c:pt>
                <c:pt idx="200">
                  <c:v>102.224</c:v>
                </c:pt>
                <c:pt idx="201">
                  <c:v>102.2465</c:v>
                </c:pt>
                <c:pt idx="202">
                  <c:v>102.26149999999998</c:v>
                </c:pt>
                <c:pt idx="203">
                  <c:v>102.309</c:v>
                </c:pt>
                <c:pt idx="204">
                  <c:v>102.369</c:v>
                </c:pt>
                <c:pt idx="205">
                  <c:v>102.49600000000001</c:v>
                </c:pt>
                <c:pt idx="206">
                  <c:v>102.66600000000001</c:v>
                </c:pt>
                <c:pt idx="207">
                  <c:v>102.8065</c:v>
                </c:pt>
                <c:pt idx="208">
                  <c:v>103.05400000000002</c:v>
                </c:pt>
                <c:pt idx="209">
                  <c:v>103.37899999999999</c:v>
                </c:pt>
                <c:pt idx="210">
                  <c:v>103.70900000000002</c:v>
                </c:pt>
                <c:pt idx="211">
                  <c:v>104.069</c:v>
                </c:pt>
                <c:pt idx="212">
                  <c:v>104.4105</c:v>
                </c:pt>
                <c:pt idx="213">
                  <c:v>104.54052631578948</c:v>
                </c:pt>
                <c:pt idx="214">
                  <c:v>104.73166666666667</c:v>
                </c:pt>
                <c:pt idx="215">
                  <c:v>104.94529411764705</c:v>
                </c:pt>
                <c:pt idx="216">
                  <c:v>105.18875</c:v>
                </c:pt>
                <c:pt idx="217">
                  <c:v>105.46466666666667</c:v>
                </c:pt>
                <c:pt idx="218">
                  <c:v>105.65499999999999</c:v>
                </c:pt>
                <c:pt idx="219">
                  <c:v>105.7976923076923</c:v>
                </c:pt>
                <c:pt idx="220">
                  <c:v>105.97249999999998</c:v>
                </c:pt>
                <c:pt idx="221">
                  <c:v>106.20636363636363</c:v>
                </c:pt>
                <c:pt idx="222">
                  <c:v>106.43700000000001</c:v>
                </c:pt>
                <c:pt idx="223">
                  <c:v>106.71333333333332</c:v>
                </c:pt>
                <c:pt idx="224">
                  <c:v>107.02749999999999</c:v>
                </c:pt>
                <c:pt idx="225">
                  <c:v>107.24857142857142</c:v>
                </c:pt>
                <c:pt idx="226">
                  <c:v>107.55666666666666</c:v>
                </c:pt>
                <c:pt idx="227">
                  <c:v>107.96799999999999</c:v>
                </c:pt>
                <c:pt idx="228">
                  <c:v>108.22500000000001</c:v>
                </c:pt>
                <c:pt idx="229">
                  <c:v>108.46666666666665</c:v>
                </c:pt>
                <c:pt idx="230">
                  <c:v>108.69999999999999</c:v>
                </c:pt>
                <c:pt idx="231">
                  <c:v>108.8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1-425C-92E7-100748748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8890944"/>
        <c:axId val="748887584"/>
      </c:lineChart>
      <c:dateAx>
        <c:axId val="7488909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87584"/>
        <c:crosses val="autoZero"/>
        <c:auto val="1"/>
        <c:lblOffset val="100"/>
        <c:baseTimeUnit val="days"/>
      </c:dateAx>
      <c:valAx>
        <c:axId val="748887584"/>
        <c:scaling>
          <c:orientation val="minMax"/>
          <c:min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9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'Tunisia Stocks'!$B$1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Stocks'!$B$2:$B$418</c:f>
              <c:numCache>
                <c:formatCode>General</c:formatCode>
                <c:ptCount val="417"/>
                <c:pt idx="0">
                  <c:v>93.9</c:v>
                </c:pt>
                <c:pt idx="1">
                  <c:v>93.5</c:v>
                </c:pt>
                <c:pt idx="2">
                  <c:v>93.69</c:v>
                </c:pt>
                <c:pt idx="3">
                  <c:v>93.5</c:v>
                </c:pt>
                <c:pt idx="4">
                  <c:v>93.7</c:v>
                </c:pt>
                <c:pt idx="5">
                  <c:v>93.99</c:v>
                </c:pt>
                <c:pt idx="6">
                  <c:v>93.99</c:v>
                </c:pt>
                <c:pt idx="7">
                  <c:v>94</c:v>
                </c:pt>
                <c:pt idx="8">
                  <c:v>94.99</c:v>
                </c:pt>
                <c:pt idx="9">
                  <c:v>97</c:v>
                </c:pt>
                <c:pt idx="10">
                  <c:v>96.85</c:v>
                </c:pt>
                <c:pt idx="11">
                  <c:v>96.5</c:v>
                </c:pt>
                <c:pt idx="12">
                  <c:v>96.5</c:v>
                </c:pt>
                <c:pt idx="13">
                  <c:v>97</c:v>
                </c:pt>
                <c:pt idx="14">
                  <c:v>96.8</c:v>
                </c:pt>
                <c:pt idx="15">
                  <c:v>98.4</c:v>
                </c:pt>
                <c:pt idx="16">
                  <c:v>98.9</c:v>
                </c:pt>
                <c:pt idx="17">
                  <c:v>98</c:v>
                </c:pt>
                <c:pt idx="18">
                  <c:v>97.8</c:v>
                </c:pt>
                <c:pt idx="19">
                  <c:v>97.4</c:v>
                </c:pt>
                <c:pt idx="20">
                  <c:v>97.7</c:v>
                </c:pt>
                <c:pt idx="21">
                  <c:v>97</c:v>
                </c:pt>
                <c:pt idx="22">
                  <c:v>97</c:v>
                </c:pt>
                <c:pt idx="23">
                  <c:v>96.98</c:v>
                </c:pt>
                <c:pt idx="24">
                  <c:v>96.9</c:v>
                </c:pt>
                <c:pt idx="25">
                  <c:v>96.45</c:v>
                </c:pt>
                <c:pt idx="26">
                  <c:v>96.99</c:v>
                </c:pt>
                <c:pt idx="27">
                  <c:v>97.4</c:v>
                </c:pt>
                <c:pt idx="28">
                  <c:v>97.03</c:v>
                </c:pt>
                <c:pt idx="29">
                  <c:v>97.15</c:v>
                </c:pt>
                <c:pt idx="30">
                  <c:v>97.4</c:v>
                </c:pt>
                <c:pt idx="31">
                  <c:v>97.5</c:v>
                </c:pt>
                <c:pt idx="32">
                  <c:v>97.5</c:v>
                </c:pt>
                <c:pt idx="33">
                  <c:v>98.5</c:v>
                </c:pt>
                <c:pt idx="34">
                  <c:v>98.89</c:v>
                </c:pt>
                <c:pt idx="35">
                  <c:v>98.9</c:v>
                </c:pt>
                <c:pt idx="36">
                  <c:v>99.5</c:v>
                </c:pt>
                <c:pt idx="37">
                  <c:v>99</c:v>
                </c:pt>
                <c:pt idx="38">
                  <c:v>98.71</c:v>
                </c:pt>
                <c:pt idx="39">
                  <c:v>98.9</c:v>
                </c:pt>
                <c:pt idx="40">
                  <c:v>99.7</c:v>
                </c:pt>
                <c:pt idx="41">
                  <c:v>99.9</c:v>
                </c:pt>
                <c:pt idx="42">
                  <c:v>101</c:v>
                </c:pt>
                <c:pt idx="43">
                  <c:v>103.5</c:v>
                </c:pt>
                <c:pt idx="44">
                  <c:v>103</c:v>
                </c:pt>
                <c:pt idx="45">
                  <c:v>103.25</c:v>
                </c:pt>
                <c:pt idx="46">
                  <c:v>101</c:v>
                </c:pt>
                <c:pt idx="47">
                  <c:v>100.99</c:v>
                </c:pt>
                <c:pt idx="48">
                  <c:v>100.1</c:v>
                </c:pt>
                <c:pt idx="49">
                  <c:v>101</c:v>
                </c:pt>
                <c:pt idx="50">
                  <c:v>101.9</c:v>
                </c:pt>
                <c:pt idx="51">
                  <c:v>100.6</c:v>
                </c:pt>
                <c:pt idx="52">
                  <c:v>100.59</c:v>
                </c:pt>
                <c:pt idx="53">
                  <c:v>99.9</c:v>
                </c:pt>
                <c:pt idx="54">
                  <c:v>99.72</c:v>
                </c:pt>
                <c:pt idx="55">
                  <c:v>99.7</c:v>
                </c:pt>
                <c:pt idx="56">
                  <c:v>98.9</c:v>
                </c:pt>
                <c:pt idx="57">
                  <c:v>98.9</c:v>
                </c:pt>
                <c:pt idx="58">
                  <c:v>98.66</c:v>
                </c:pt>
                <c:pt idx="59">
                  <c:v>98.9</c:v>
                </c:pt>
                <c:pt idx="60">
                  <c:v>98.5</c:v>
                </c:pt>
                <c:pt idx="61">
                  <c:v>98.5</c:v>
                </c:pt>
                <c:pt idx="62">
                  <c:v>98.5</c:v>
                </c:pt>
                <c:pt idx="63">
                  <c:v>98.85</c:v>
                </c:pt>
                <c:pt idx="64">
                  <c:v>98</c:v>
                </c:pt>
                <c:pt idx="65">
                  <c:v>98.6</c:v>
                </c:pt>
                <c:pt idx="66">
                  <c:v>98.6</c:v>
                </c:pt>
                <c:pt idx="67">
                  <c:v>98.98</c:v>
                </c:pt>
                <c:pt idx="68">
                  <c:v>99.2</c:v>
                </c:pt>
                <c:pt idx="69">
                  <c:v>99.99</c:v>
                </c:pt>
                <c:pt idx="70">
                  <c:v>99.99</c:v>
                </c:pt>
                <c:pt idx="71">
                  <c:v>101.99</c:v>
                </c:pt>
                <c:pt idx="72">
                  <c:v>100.99</c:v>
                </c:pt>
                <c:pt idx="73">
                  <c:v>101.87</c:v>
                </c:pt>
                <c:pt idx="74">
                  <c:v>101.87</c:v>
                </c:pt>
                <c:pt idx="75">
                  <c:v>102</c:v>
                </c:pt>
                <c:pt idx="76">
                  <c:v>103</c:v>
                </c:pt>
                <c:pt idx="77">
                  <c:v>102.49</c:v>
                </c:pt>
                <c:pt idx="78">
                  <c:v>102.49</c:v>
                </c:pt>
                <c:pt idx="79">
                  <c:v>103.4</c:v>
                </c:pt>
                <c:pt idx="80">
                  <c:v>103</c:v>
                </c:pt>
                <c:pt idx="81">
                  <c:v>103.5</c:v>
                </c:pt>
                <c:pt idx="82">
                  <c:v>103.5</c:v>
                </c:pt>
                <c:pt idx="83">
                  <c:v>103.47</c:v>
                </c:pt>
                <c:pt idx="84">
                  <c:v>103.47</c:v>
                </c:pt>
                <c:pt idx="85">
                  <c:v>103.4</c:v>
                </c:pt>
                <c:pt idx="86">
                  <c:v>103.45</c:v>
                </c:pt>
                <c:pt idx="87">
                  <c:v>97.3</c:v>
                </c:pt>
                <c:pt idx="88">
                  <c:v>97.1</c:v>
                </c:pt>
                <c:pt idx="89">
                  <c:v>97</c:v>
                </c:pt>
                <c:pt idx="90">
                  <c:v>96.98</c:v>
                </c:pt>
                <c:pt idx="91">
                  <c:v>97.1</c:v>
                </c:pt>
                <c:pt idx="92">
                  <c:v>96.9</c:v>
                </c:pt>
                <c:pt idx="93">
                  <c:v>94.8</c:v>
                </c:pt>
                <c:pt idx="94">
                  <c:v>96.99</c:v>
                </c:pt>
                <c:pt idx="95">
                  <c:v>97</c:v>
                </c:pt>
                <c:pt idx="96">
                  <c:v>97</c:v>
                </c:pt>
                <c:pt idx="97">
                  <c:v>96.98</c:v>
                </c:pt>
                <c:pt idx="98">
                  <c:v>96.5</c:v>
                </c:pt>
                <c:pt idx="99">
                  <c:v>96.4</c:v>
                </c:pt>
                <c:pt idx="100">
                  <c:v>95.8</c:v>
                </c:pt>
                <c:pt idx="101">
                  <c:v>94.5</c:v>
                </c:pt>
                <c:pt idx="102">
                  <c:v>94.5</c:v>
                </c:pt>
                <c:pt idx="103">
                  <c:v>94</c:v>
                </c:pt>
                <c:pt idx="104">
                  <c:v>94.2</c:v>
                </c:pt>
                <c:pt idx="105">
                  <c:v>94.1</c:v>
                </c:pt>
                <c:pt idx="106">
                  <c:v>94</c:v>
                </c:pt>
                <c:pt idx="107">
                  <c:v>94.08</c:v>
                </c:pt>
                <c:pt idx="108">
                  <c:v>93.49</c:v>
                </c:pt>
                <c:pt idx="109">
                  <c:v>93.3</c:v>
                </c:pt>
                <c:pt idx="110">
                  <c:v>92</c:v>
                </c:pt>
                <c:pt idx="111">
                  <c:v>90.65</c:v>
                </c:pt>
                <c:pt idx="112">
                  <c:v>90.5</c:v>
                </c:pt>
                <c:pt idx="113">
                  <c:v>90.2</c:v>
                </c:pt>
                <c:pt idx="114">
                  <c:v>92.99</c:v>
                </c:pt>
                <c:pt idx="115">
                  <c:v>92.79</c:v>
                </c:pt>
                <c:pt idx="116">
                  <c:v>92.02</c:v>
                </c:pt>
                <c:pt idx="117">
                  <c:v>94</c:v>
                </c:pt>
                <c:pt idx="118">
                  <c:v>94</c:v>
                </c:pt>
                <c:pt idx="119">
                  <c:v>94.15</c:v>
                </c:pt>
                <c:pt idx="120">
                  <c:v>94</c:v>
                </c:pt>
                <c:pt idx="121">
                  <c:v>94</c:v>
                </c:pt>
                <c:pt idx="122">
                  <c:v>94</c:v>
                </c:pt>
                <c:pt idx="123">
                  <c:v>94</c:v>
                </c:pt>
                <c:pt idx="124">
                  <c:v>94</c:v>
                </c:pt>
                <c:pt idx="125">
                  <c:v>94</c:v>
                </c:pt>
                <c:pt idx="126">
                  <c:v>94</c:v>
                </c:pt>
                <c:pt idx="127">
                  <c:v>94</c:v>
                </c:pt>
                <c:pt idx="128">
                  <c:v>93.9</c:v>
                </c:pt>
                <c:pt idx="129">
                  <c:v>94</c:v>
                </c:pt>
                <c:pt idx="130">
                  <c:v>94</c:v>
                </c:pt>
                <c:pt idx="131">
                  <c:v>94.98</c:v>
                </c:pt>
                <c:pt idx="132">
                  <c:v>94.5</c:v>
                </c:pt>
                <c:pt idx="133">
                  <c:v>94.4</c:v>
                </c:pt>
                <c:pt idx="134">
                  <c:v>94.4</c:v>
                </c:pt>
                <c:pt idx="135">
                  <c:v>94.6</c:v>
                </c:pt>
                <c:pt idx="136">
                  <c:v>93.8</c:v>
                </c:pt>
                <c:pt idx="137">
                  <c:v>94.3</c:v>
                </c:pt>
                <c:pt idx="138">
                  <c:v>94.2</c:v>
                </c:pt>
                <c:pt idx="139">
                  <c:v>94.2</c:v>
                </c:pt>
                <c:pt idx="140">
                  <c:v>93.8</c:v>
                </c:pt>
                <c:pt idx="141">
                  <c:v>94</c:v>
                </c:pt>
                <c:pt idx="142">
                  <c:v>94</c:v>
                </c:pt>
                <c:pt idx="143">
                  <c:v>94</c:v>
                </c:pt>
                <c:pt idx="144">
                  <c:v>93.95</c:v>
                </c:pt>
                <c:pt idx="145">
                  <c:v>93.9</c:v>
                </c:pt>
                <c:pt idx="146">
                  <c:v>93.9</c:v>
                </c:pt>
                <c:pt idx="147">
                  <c:v>93.9</c:v>
                </c:pt>
                <c:pt idx="148">
                  <c:v>93.9</c:v>
                </c:pt>
                <c:pt idx="149">
                  <c:v>93.85</c:v>
                </c:pt>
                <c:pt idx="150">
                  <c:v>93.7</c:v>
                </c:pt>
                <c:pt idx="151">
                  <c:v>93.7</c:v>
                </c:pt>
                <c:pt idx="152">
                  <c:v>93.68</c:v>
                </c:pt>
                <c:pt idx="153">
                  <c:v>93.7</c:v>
                </c:pt>
                <c:pt idx="154">
                  <c:v>93.79</c:v>
                </c:pt>
                <c:pt idx="155">
                  <c:v>93.9</c:v>
                </c:pt>
                <c:pt idx="156">
                  <c:v>93.9</c:v>
                </c:pt>
                <c:pt idx="157">
                  <c:v>94</c:v>
                </c:pt>
                <c:pt idx="158">
                  <c:v>93.92</c:v>
                </c:pt>
                <c:pt idx="159">
                  <c:v>93.71</c:v>
                </c:pt>
                <c:pt idx="160">
                  <c:v>94</c:v>
                </c:pt>
                <c:pt idx="161">
                  <c:v>94</c:v>
                </c:pt>
                <c:pt idx="162">
                  <c:v>94</c:v>
                </c:pt>
                <c:pt idx="163">
                  <c:v>94</c:v>
                </c:pt>
                <c:pt idx="164">
                  <c:v>93.75</c:v>
                </c:pt>
                <c:pt idx="165">
                  <c:v>95.5</c:v>
                </c:pt>
                <c:pt idx="166">
                  <c:v>95.39</c:v>
                </c:pt>
                <c:pt idx="167">
                  <c:v>94.7</c:v>
                </c:pt>
                <c:pt idx="168">
                  <c:v>96</c:v>
                </c:pt>
                <c:pt idx="169">
                  <c:v>95.79</c:v>
                </c:pt>
                <c:pt idx="170">
                  <c:v>97.9</c:v>
                </c:pt>
                <c:pt idx="171">
                  <c:v>97.69</c:v>
                </c:pt>
                <c:pt idx="172">
                  <c:v>97.68</c:v>
                </c:pt>
                <c:pt idx="173">
                  <c:v>98.89</c:v>
                </c:pt>
                <c:pt idx="174">
                  <c:v>101</c:v>
                </c:pt>
                <c:pt idx="175">
                  <c:v>101</c:v>
                </c:pt>
                <c:pt idx="176">
                  <c:v>101</c:v>
                </c:pt>
                <c:pt idx="177">
                  <c:v>101</c:v>
                </c:pt>
                <c:pt idx="178">
                  <c:v>100.84</c:v>
                </c:pt>
                <c:pt idx="179">
                  <c:v>101.24</c:v>
                </c:pt>
                <c:pt idx="180">
                  <c:v>101.9</c:v>
                </c:pt>
                <c:pt idx="181">
                  <c:v>102.95</c:v>
                </c:pt>
                <c:pt idx="182">
                  <c:v>103.6</c:v>
                </c:pt>
                <c:pt idx="183">
                  <c:v>103</c:v>
                </c:pt>
                <c:pt idx="184">
                  <c:v>103</c:v>
                </c:pt>
                <c:pt idx="185">
                  <c:v>102.94</c:v>
                </c:pt>
                <c:pt idx="186">
                  <c:v>102</c:v>
                </c:pt>
                <c:pt idx="187">
                  <c:v>102.69</c:v>
                </c:pt>
                <c:pt idx="188">
                  <c:v>101.99</c:v>
                </c:pt>
                <c:pt idx="189">
                  <c:v>101</c:v>
                </c:pt>
                <c:pt idx="190">
                  <c:v>101.4</c:v>
                </c:pt>
                <c:pt idx="191">
                  <c:v>101.4</c:v>
                </c:pt>
                <c:pt idx="192">
                  <c:v>101.97</c:v>
                </c:pt>
                <c:pt idx="193">
                  <c:v>101.94</c:v>
                </c:pt>
                <c:pt idx="194">
                  <c:v>101.1</c:v>
                </c:pt>
                <c:pt idx="195">
                  <c:v>101.1</c:v>
                </c:pt>
                <c:pt idx="196">
                  <c:v>101.05</c:v>
                </c:pt>
                <c:pt idx="197">
                  <c:v>101.05</c:v>
                </c:pt>
                <c:pt idx="198">
                  <c:v>102.8</c:v>
                </c:pt>
                <c:pt idx="199">
                  <c:v>103.8</c:v>
                </c:pt>
                <c:pt idx="200">
                  <c:v>103.7</c:v>
                </c:pt>
                <c:pt idx="201">
                  <c:v>103.4</c:v>
                </c:pt>
                <c:pt idx="202">
                  <c:v>103.9</c:v>
                </c:pt>
                <c:pt idx="203">
                  <c:v>103.95</c:v>
                </c:pt>
                <c:pt idx="204">
                  <c:v>104.2</c:v>
                </c:pt>
                <c:pt idx="205">
                  <c:v>105.48</c:v>
                </c:pt>
                <c:pt idx="206">
                  <c:v>105.4</c:v>
                </c:pt>
                <c:pt idx="207">
                  <c:v>105.5</c:v>
                </c:pt>
                <c:pt idx="208">
                  <c:v>106.94</c:v>
                </c:pt>
                <c:pt idx="209">
                  <c:v>107.5</c:v>
                </c:pt>
                <c:pt idx="210">
                  <c:v>108</c:v>
                </c:pt>
                <c:pt idx="211">
                  <c:v>108.6</c:v>
                </c:pt>
                <c:pt idx="212">
                  <c:v>108.8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96-4836-86D1-F93D58853B46}"/>
            </c:ext>
          </c:extLst>
        </c:ser>
        <c:ser>
          <c:idx val="1"/>
          <c:order val="1"/>
          <c:tx>
            <c:strRef>
              <c:f>'Tunisia Stocks'!$I$1</c:f>
              <c:strCache>
                <c:ptCount val="1"/>
                <c:pt idx="0">
                  <c:v> 50 Day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Stocks'!$I$2:$I$418</c:f>
              <c:numCache>
                <c:formatCode>_(* #,##0.00_);_(* \(#,##0.00\);_(* "-"??_);_(@_)</c:formatCode>
                <c:ptCount val="417"/>
                <c:pt idx="49">
                  <c:v>97.704999999999998</c:v>
                </c:pt>
                <c:pt idx="50">
                  <c:v>97.864999999999995</c:v>
                </c:pt>
                <c:pt idx="51">
                  <c:v>98.007000000000005</c:v>
                </c:pt>
                <c:pt idx="52">
                  <c:v>98.144999999999996</c:v>
                </c:pt>
                <c:pt idx="53">
                  <c:v>98.27300000000001</c:v>
                </c:pt>
                <c:pt idx="54">
                  <c:v>98.393400000000014</c:v>
                </c:pt>
                <c:pt idx="55">
                  <c:v>98.507600000000025</c:v>
                </c:pt>
                <c:pt idx="56">
                  <c:v>98.605800000000002</c:v>
                </c:pt>
                <c:pt idx="57">
                  <c:v>98.703799999999973</c:v>
                </c:pt>
                <c:pt idx="58">
                  <c:v>98.777199999999979</c:v>
                </c:pt>
                <c:pt idx="59">
                  <c:v>98.81519999999999</c:v>
                </c:pt>
                <c:pt idx="60">
                  <c:v>98.848199999999963</c:v>
                </c:pt>
                <c:pt idx="61">
                  <c:v>98.888199999999983</c:v>
                </c:pt>
                <c:pt idx="62">
                  <c:v>98.928199999999975</c:v>
                </c:pt>
                <c:pt idx="63">
                  <c:v>98.965199999999982</c:v>
                </c:pt>
                <c:pt idx="64">
                  <c:v>98.989199999999983</c:v>
                </c:pt>
                <c:pt idx="65">
                  <c:v>98.993200000000002</c:v>
                </c:pt>
                <c:pt idx="66">
                  <c:v>98.98720000000003</c:v>
                </c:pt>
                <c:pt idx="67">
                  <c:v>99.006799999999998</c:v>
                </c:pt>
                <c:pt idx="68">
                  <c:v>99.034800000000018</c:v>
                </c:pt>
                <c:pt idx="69">
                  <c:v>99.086600000000018</c:v>
                </c:pt>
                <c:pt idx="70">
                  <c:v>99.132400000000004</c:v>
                </c:pt>
                <c:pt idx="71">
                  <c:v>99.232199999999992</c:v>
                </c:pt>
                <c:pt idx="72">
                  <c:v>99.311999999999983</c:v>
                </c:pt>
                <c:pt idx="73">
                  <c:v>99.409799999999976</c:v>
                </c:pt>
                <c:pt idx="74">
                  <c:v>99.509199999999964</c:v>
                </c:pt>
                <c:pt idx="75">
                  <c:v>99.620199999999969</c:v>
                </c:pt>
                <c:pt idx="76">
                  <c:v>99.740399999999966</c:v>
                </c:pt>
                <c:pt idx="77">
                  <c:v>99.842199999999977</c:v>
                </c:pt>
                <c:pt idx="78">
                  <c:v>99.951399999999978</c:v>
                </c:pt>
                <c:pt idx="79">
                  <c:v>100.07639999999996</c:v>
                </c:pt>
                <c:pt idx="80">
                  <c:v>100.18839999999996</c:v>
                </c:pt>
                <c:pt idx="81">
                  <c:v>100.30839999999995</c:v>
                </c:pt>
                <c:pt idx="82">
                  <c:v>100.42839999999995</c:v>
                </c:pt>
                <c:pt idx="83">
                  <c:v>100.52779999999996</c:v>
                </c:pt>
                <c:pt idx="84">
                  <c:v>100.61939999999997</c:v>
                </c:pt>
                <c:pt idx="85">
                  <c:v>100.70939999999995</c:v>
                </c:pt>
                <c:pt idx="86">
                  <c:v>100.78839999999997</c:v>
                </c:pt>
                <c:pt idx="87">
                  <c:v>100.75439999999998</c:v>
                </c:pt>
                <c:pt idx="88">
                  <c:v>100.72219999999997</c:v>
                </c:pt>
                <c:pt idx="89">
                  <c:v>100.68419999999998</c:v>
                </c:pt>
                <c:pt idx="90">
                  <c:v>100.62979999999996</c:v>
                </c:pt>
                <c:pt idx="91">
                  <c:v>100.57379999999998</c:v>
                </c:pt>
                <c:pt idx="92">
                  <c:v>100.49179999999997</c:v>
                </c:pt>
                <c:pt idx="93">
                  <c:v>100.31779999999995</c:v>
                </c:pt>
                <c:pt idx="94">
                  <c:v>100.19759999999997</c:v>
                </c:pt>
                <c:pt idx="95">
                  <c:v>100.07259999999997</c:v>
                </c:pt>
                <c:pt idx="96">
                  <c:v>99.992599999999953</c:v>
                </c:pt>
                <c:pt idx="97">
                  <c:v>99.912399999999948</c:v>
                </c:pt>
                <c:pt idx="98">
                  <c:v>99.84039999999996</c:v>
                </c:pt>
                <c:pt idx="99">
                  <c:v>99.748399999999947</c:v>
                </c:pt>
                <c:pt idx="100">
                  <c:v>99.626399999999961</c:v>
                </c:pt>
                <c:pt idx="101">
                  <c:v>99.504399999999947</c:v>
                </c:pt>
                <c:pt idx="102">
                  <c:v>99.382599999999968</c:v>
                </c:pt>
                <c:pt idx="103">
                  <c:v>99.264599999999973</c:v>
                </c:pt>
                <c:pt idx="104">
                  <c:v>99.15419999999996</c:v>
                </c:pt>
                <c:pt idx="105">
                  <c:v>99.04219999999998</c:v>
                </c:pt>
                <c:pt idx="106">
                  <c:v>98.944199999999981</c:v>
                </c:pt>
                <c:pt idx="107">
                  <c:v>98.847799999999992</c:v>
                </c:pt>
                <c:pt idx="108">
                  <c:v>98.744399999999985</c:v>
                </c:pt>
                <c:pt idx="109">
                  <c:v>98.632400000000004</c:v>
                </c:pt>
                <c:pt idx="110">
                  <c:v>98.502399999999994</c:v>
                </c:pt>
                <c:pt idx="111">
                  <c:v>98.345399999999984</c:v>
                </c:pt>
                <c:pt idx="112">
                  <c:v>98.185399999999987</c:v>
                </c:pt>
                <c:pt idx="113">
                  <c:v>98.0124</c:v>
                </c:pt>
                <c:pt idx="114">
                  <c:v>97.91219999999997</c:v>
                </c:pt>
                <c:pt idx="115">
                  <c:v>97.795999999999992</c:v>
                </c:pt>
                <c:pt idx="116">
                  <c:v>97.664400000000001</c:v>
                </c:pt>
                <c:pt idx="117">
                  <c:v>97.564799999999991</c:v>
                </c:pt>
                <c:pt idx="118">
                  <c:v>97.460800000000006</c:v>
                </c:pt>
                <c:pt idx="119">
                  <c:v>97.343999999999994</c:v>
                </c:pt>
                <c:pt idx="120">
                  <c:v>97.224199999999982</c:v>
                </c:pt>
                <c:pt idx="121">
                  <c:v>97.064400000000006</c:v>
                </c:pt>
                <c:pt idx="122">
                  <c:v>96.924599999999998</c:v>
                </c:pt>
                <c:pt idx="123">
                  <c:v>96.767199999999988</c:v>
                </c:pt>
                <c:pt idx="124">
                  <c:v>96.609799999999993</c:v>
                </c:pt>
                <c:pt idx="125">
                  <c:v>96.449799999999996</c:v>
                </c:pt>
                <c:pt idx="126">
                  <c:v>96.269799999999975</c:v>
                </c:pt>
                <c:pt idx="127">
                  <c:v>96.1</c:v>
                </c:pt>
                <c:pt idx="128">
                  <c:v>95.928200000000004</c:v>
                </c:pt>
                <c:pt idx="129">
                  <c:v>95.740199999999987</c:v>
                </c:pt>
                <c:pt idx="130">
                  <c:v>95.56019999999998</c:v>
                </c:pt>
                <c:pt idx="131">
                  <c:v>95.38979999999998</c:v>
                </c:pt>
                <c:pt idx="132">
                  <c:v>95.209799999999973</c:v>
                </c:pt>
                <c:pt idx="133">
                  <c:v>95.028399999999962</c:v>
                </c:pt>
                <c:pt idx="134">
                  <c:v>94.846999999999966</c:v>
                </c:pt>
                <c:pt idx="135">
                  <c:v>94.670999999999992</c:v>
                </c:pt>
                <c:pt idx="136">
                  <c:v>94.47799999999998</c:v>
                </c:pt>
                <c:pt idx="137">
                  <c:v>94.417999999999992</c:v>
                </c:pt>
                <c:pt idx="138">
                  <c:v>94.359999999999985</c:v>
                </c:pt>
                <c:pt idx="139">
                  <c:v>94.304000000000002</c:v>
                </c:pt>
                <c:pt idx="140">
                  <c:v>94.240400000000008</c:v>
                </c:pt>
                <c:pt idx="141">
                  <c:v>94.178399999999996</c:v>
                </c:pt>
                <c:pt idx="142">
                  <c:v>94.120399999999989</c:v>
                </c:pt>
                <c:pt idx="143">
                  <c:v>94.104399999999998</c:v>
                </c:pt>
                <c:pt idx="144">
                  <c:v>94.043600000000012</c:v>
                </c:pt>
                <c:pt idx="145">
                  <c:v>93.9816</c:v>
                </c:pt>
                <c:pt idx="146">
                  <c:v>93.919599999999988</c:v>
                </c:pt>
                <c:pt idx="147">
                  <c:v>93.857999999999976</c:v>
                </c:pt>
                <c:pt idx="148">
                  <c:v>93.805999999999969</c:v>
                </c:pt>
                <c:pt idx="149">
                  <c:v>93.754999999999981</c:v>
                </c:pt>
                <c:pt idx="150">
                  <c:v>93.712999999999994</c:v>
                </c:pt>
                <c:pt idx="151">
                  <c:v>93.696999999999989</c:v>
                </c:pt>
                <c:pt idx="152">
                  <c:v>93.680599999999998</c:v>
                </c:pt>
                <c:pt idx="153">
                  <c:v>93.674600000000012</c:v>
                </c:pt>
                <c:pt idx="154">
                  <c:v>93.66640000000001</c:v>
                </c:pt>
                <c:pt idx="155">
                  <c:v>93.662399999999991</c:v>
                </c:pt>
                <c:pt idx="156">
                  <c:v>93.660399999999996</c:v>
                </c:pt>
                <c:pt idx="157">
                  <c:v>93.658799999999985</c:v>
                </c:pt>
                <c:pt idx="158">
                  <c:v>93.667399999999986</c:v>
                </c:pt>
                <c:pt idx="159">
                  <c:v>93.675599999999974</c:v>
                </c:pt>
                <c:pt idx="160">
                  <c:v>93.715599999999995</c:v>
                </c:pt>
                <c:pt idx="161">
                  <c:v>93.782599999999988</c:v>
                </c:pt>
                <c:pt idx="162">
                  <c:v>93.852599999999995</c:v>
                </c:pt>
                <c:pt idx="163">
                  <c:v>93.928600000000003</c:v>
                </c:pt>
                <c:pt idx="164">
                  <c:v>93.943799999999996</c:v>
                </c:pt>
                <c:pt idx="165">
                  <c:v>93.99799999999999</c:v>
                </c:pt>
                <c:pt idx="166">
                  <c:v>94.065399999999997</c:v>
                </c:pt>
                <c:pt idx="167">
                  <c:v>94.079399999999993</c:v>
                </c:pt>
                <c:pt idx="168">
                  <c:v>94.119399999999985</c:v>
                </c:pt>
                <c:pt idx="169">
                  <c:v>94.152199999999993</c:v>
                </c:pt>
                <c:pt idx="170">
                  <c:v>94.230199999999982</c:v>
                </c:pt>
                <c:pt idx="171">
                  <c:v>94.303999999999974</c:v>
                </c:pt>
                <c:pt idx="172">
                  <c:v>94.377599999999987</c:v>
                </c:pt>
                <c:pt idx="173">
                  <c:v>94.475399999999993</c:v>
                </c:pt>
                <c:pt idx="174">
                  <c:v>94.615399999999994</c:v>
                </c:pt>
                <c:pt idx="175">
                  <c:v>94.755399999999995</c:v>
                </c:pt>
                <c:pt idx="176">
                  <c:v>94.895399999999995</c:v>
                </c:pt>
                <c:pt idx="177">
                  <c:v>95.03540000000001</c:v>
                </c:pt>
                <c:pt idx="178">
                  <c:v>95.174199999999999</c:v>
                </c:pt>
                <c:pt idx="179">
                  <c:v>95.319000000000003</c:v>
                </c:pt>
                <c:pt idx="180">
                  <c:v>95.47699999999999</c:v>
                </c:pt>
                <c:pt idx="181">
                  <c:v>95.636399999999995</c:v>
                </c:pt>
                <c:pt idx="182">
                  <c:v>95.818399999999997</c:v>
                </c:pt>
                <c:pt idx="183">
                  <c:v>95.990399999999994</c:v>
                </c:pt>
                <c:pt idx="184">
                  <c:v>96.162399999999991</c:v>
                </c:pt>
                <c:pt idx="185">
                  <c:v>96.329199999999986</c:v>
                </c:pt>
                <c:pt idx="186">
                  <c:v>96.493200000000002</c:v>
                </c:pt>
                <c:pt idx="187">
                  <c:v>96.660999999999987</c:v>
                </c:pt>
                <c:pt idx="188">
                  <c:v>96.816799999999986</c:v>
                </c:pt>
                <c:pt idx="189">
                  <c:v>96.952799999999968</c:v>
                </c:pt>
                <c:pt idx="190">
                  <c:v>97.104799999999955</c:v>
                </c:pt>
                <c:pt idx="191">
                  <c:v>97.252799999999951</c:v>
                </c:pt>
                <c:pt idx="192">
                  <c:v>97.41219999999997</c:v>
                </c:pt>
                <c:pt idx="193">
                  <c:v>97.57099999999997</c:v>
                </c:pt>
                <c:pt idx="194">
                  <c:v>97.713999999999984</c:v>
                </c:pt>
                <c:pt idx="195">
                  <c:v>97.85799999999999</c:v>
                </c:pt>
                <c:pt idx="196">
                  <c:v>98.001000000000005</c:v>
                </c:pt>
                <c:pt idx="197">
                  <c:v>98.143999999999991</c:v>
                </c:pt>
                <c:pt idx="198">
                  <c:v>98.322000000000003</c:v>
                </c:pt>
                <c:pt idx="199">
                  <c:v>98.521000000000015</c:v>
                </c:pt>
                <c:pt idx="200">
                  <c:v>98.721000000000018</c:v>
                </c:pt>
                <c:pt idx="201">
                  <c:v>98.91500000000002</c:v>
                </c:pt>
                <c:pt idx="202">
                  <c:v>99.119399999999999</c:v>
                </c:pt>
                <c:pt idx="203">
                  <c:v>99.324399999999983</c:v>
                </c:pt>
                <c:pt idx="204">
                  <c:v>99.532599999999988</c:v>
                </c:pt>
                <c:pt idx="205">
                  <c:v>99.764199999999988</c:v>
                </c:pt>
                <c:pt idx="206">
                  <c:v>99.994199999999964</c:v>
                </c:pt>
                <c:pt idx="207">
                  <c:v>100.22419999999997</c:v>
                </c:pt>
                <c:pt idx="208">
                  <c:v>100.48459999999997</c:v>
                </c:pt>
                <c:pt idx="209">
                  <c:v>100.76039999999998</c:v>
                </c:pt>
                <c:pt idx="210">
                  <c:v>101.04039999999998</c:v>
                </c:pt>
                <c:pt idx="211">
                  <c:v>101.33239999999998</c:v>
                </c:pt>
                <c:pt idx="212">
                  <c:v>101.62839999999998</c:v>
                </c:pt>
                <c:pt idx="213">
                  <c:v>101.78408163265304</c:v>
                </c:pt>
                <c:pt idx="214">
                  <c:v>101.95145833333332</c:v>
                </c:pt>
                <c:pt idx="215">
                  <c:v>102.08872340425532</c:v>
                </c:pt>
                <c:pt idx="216">
                  <c:v>102.23434782608697</c:v>
                </c:pt>
                <c:pt idx="217">
                  <c:v>102.4017777777778</c:v>
                </c:pt>
                <c:pt idx="218">
                  <c:v>102.54727272727274</c:v>
                </c:pt>
                <c:pt idx="219">
                  <c:v>102.70441860465118</c:v>
                </c:pt>
                <c:pt idx="220">
                  <c:v>102.81880952380953</c:v>
                </c:pt>
                <c:pt idx="221">
                  <c:v>102.94390243902441</c:v>
                </c:pt>
                <c:pt idx="222">
                  <c:v>103.07550000000001</c:v>
                </c:pt>
                <c:pt idx="223">
                  <c:v>103.18282051282054</c:v>
                </c:pt>
                <c:pt idx="224">
                  <c:v>103.24026315789476</c:v>
                </c:pt>
                <c:pt idx="225">
                  <c:v>103.30081081081083</c:v>
                </c:pt>
                <c:pt idx="226">
                  <c:v>103.36472222222224</c:v>
                </c:pt>
                <c:pt idx="227">
                  <c:v>103.43228571428571</c:v>
                </c:pt>
                <c:pt idx="228">
                  <c:v>103.5085294117647</c:v>
                </c:pt>
                <c:pt idx="229">
                  <c:v>103.57727272727273</c:v>
                </c:pt>
                <c:pt idx="230">
                  <c:v>103.6296875</c:v>
                </c:pt>
                <c:pt idx="231">
                  <c:v>103.6516129032258</c:v>
                </c:pt>
                <c:pt idx="232">
                  <c:v>103.65333333333334</c:v>
                </c:pt>
                <c:pt idx="233">
                  <c:v>103.67586206896551</c:v>
                </c:pt>
                <c:pt idx="234">
                  <c:v>103.70000000000002</c:v>
                </c:pt>
                <c:pt idx="235">
                  <c:v>103.72814814814816</c:v>
                </c:pt>
                <c:pt idx="236">
                  <c:v>103.7946153846154</c:v>
                </c:pt>
                <c:pt idx="237">
                  <c:v>103.83880000000001</c:v>
                </c:pt>
                <c:pt idx="238">
                  <c:v>103.91583333333335</c:v>
                </c:pt>
                <c:pt idx="239">
                  <c:v>104.04260869565218</c:v>
                </c:pt>
                <c:pt idx="240">
                  <c:v>104.1627272727273</c:v>
                </c:pt>
                <c:pt idx="241">
                  <c:v>104.29428571428573</c:v>
                </c:pt>
                <c:pt idx="242">
                  <c:v>104.4105</c:v>
                </c:pt>
                <c:pt idx="243">
                  <c:v>104.54052631578948</c:v>
                </c:pt>
                <c:pt idx="244">
                  <c:v>104.73166666666667</c:v>
                </c:pt>
                <c:pt idx="245">
                  <c:v>104.94529411764705</c:v>
                </c:pt>
                <c:pt idx="246">
                  <c:v>105.18875</c:v>
                </c:pt>
                <c:pt idx="247">
                  <c:v>105.46466666666667</c:v>
                </c:pt>
                <c:pt idx="248">
                  <c:v>105.65499999999999</c:v>
                </c:pt>
                <c:pt idx="249">
                  <c:v>105.7976923076923</c:v>
                </c:pt>
                <c:pt idx="250">
                  <c:v>105.97249999999998</c:v>
                </c:pt>
                <c:pt idx="251">
                  <c:v>106.20636363636363</c:v>
                </c:pt>
                <c:pt idx="252">
                  <c:v>106.43700000000001</c:v>
                </c:pt>
                <c:pt idx="253">
                  <c:v>106.71333333333332</c:v>
                </c:pt>
                <c:pt idx="254">
                  <c:v>107.02749999999999</c:v>
                </c:pt>
                <c:pt idx="255">
                  <c:v>107.24857142857142</c:v>
                </c:pt>
                <c:pt idx="256">
                  <c:v>107.55666666666666</c:v>
                </c:pt>
                <c:pt idx="257">
                  <c:v>107.96799999999999</c:v>
                </c:pt>
                <c:pt idx="258">
                  <c:v>108.22500000000001</c:v>
                </c:pt>
                <c:pt idx="259">
                  <c:v>108.46666666666665</c:v>
                </c:pt>
                <c:pt idx="260">
                  <c:v>108.69999999999999</c:v>
                </c:pt>
                <c:pt idx="261">
                  <c:v>108.8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96-4836-86D1-F93D58853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747856"/>
        <c:axId val="655744496"/>
      </c:lineChart>
      <c:dateAx>
        <c:axId val="655747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744496"/>
        <c:crosses val="autoZero"/>
        <c:auto val="1"/>
        <c:lblOffset val="100"/>
        <c:baseTimeUnit val="days"/>
      </c:dateAx>
      <c:valAx>
        <c:axId val="655744496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74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'Tunisia Stocks'!$J$1</c:f>
              <c:strCache>
                <c:ptCount val="1"/>
                <c:pt idx="0">
                  <c:v>Cum Daily Returns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Stocks'!$J$2:$J$418</c:f>
              <c:numCache>
                <c:formatCode>0.0%</c:formatCode>
                <c:ptCount val="417"/>
                <c:pt idx="0">
                  <c:v>0</c:v>
                </c:pt>
                <c:pt idx="1">
                  <c:v>-4.2598509052184097E-3</c:v>
                </c:pt>
                <c:pt idx="2">
                  <c:v>-2.2364217252397456E-3</c:v>
                </c:pt>
                <c:pt idx="3">
                  <c:v>-4.2598509052184097E-3</c:v>
                </c:pt>
                <c:pt idx="4">
                  <c:v>-2.1299254526091493E-3</c:v>
                </c:pt>
                <c:pt idx="5">
                  <c:v>9.5846645367392291E-4</c:v>
                </c:pt>
                <c:pt idx="6">
                  <c:v>9.5846645367392291E-4</c:v>
                </c:pt>
                <c:pt idx="7">
                  <c:v>1.0649627263044081E-3</c:v>
                </c:pt>
                <c:pt idx="8">
                  <c:v>1.1608093716719781E-2</c:v>
                </c:pt>
                <c:pt idx="9">
                  <c:v>3.3013844515441981E-2</c:v>
                </c:pt>
                <c:pt idx="10">
                  <c:v>3.1416400425984925E-2</c:v>
                </c:pt>
                <c:pt idx="11">
                  <c:v>2.7689030883919052E-2</c:v>
                </c:pt>
                <c:pt idx="12">
                  <c:v>2.7689030883919052E-2</c:v>
                </c:pt>
                <c:pt idx="13">
                  <c:v>3.3013844515441981E-2</c:v>
                </c:pt>
                <c:pt idx="14">
                  <c:v>3.0883919062832721E-2</c:v>
                </c:pt>
                <c:pt idx="15">
                  <c:v>4.7923322683706138E-2</c:v>
                </c:pt>
                <c:pt idx="16">
                  <c:v>5.3248136315229067E-2</c:v>
                </c:pt>
                <c:pt idx="17">
                  <c:v>4.3663471778487617E-2</c:v>
                </c:pt>
                <c:pt idx="18">
                  <c:v>4.1533546325878579E-2</c:v>
                </c:pt>
                <c:pt idx="19">
                  <c:v>3.727369542066028E-2</c:v>
                </c:pt>
                <c:pt idx="20">
                  <c:v>4.0468583599573948E-2</c:v>
                </c:pt>
                <c:pt idx="21">
                  <c:v>3.3013844515441981E-2</c:v>
                </c:pt>
                <c:pt idx="22">
                  <c:v>3.3013844515441981E-2</c:v>
                </c:pt>
                <c:pt idx="23">
                  <c:v>3.2800851970181011E-2</c:v>
                </c:pt>
                <c:pt idx="24">
                  <c:v>3.1948881789137351E-2</c:v>
                </c:pt>
                <c:pt idx="25">
                  <c:v>2.7156549520766848E-2</c:v>
                </c:pt>
                <c:pt idx="26">
                  <c:v>3.2907348242811274E-2</c:v>
                </c:pt>
                <c:pt idx="27">
                  <c:v>3.727369542066028E-2</c:v>
                </c:pt>
                <c:pt idx="28">
                  <c:v>3.3333333333333215E-2</c:v>
                </c:pt>
                <c:pt idx="29">
                  <c:v>3.4611288604898816E-2</c:v>
                </c:pt>
                <c:pt idx="30">
                  <c:v>3.727369542066028E-2</c:v>
                </c:pt>
                <c:pt idx="31">
                  <c:v>3.8338658146964688E-2</c:v>
                </c:pt>
                <c:pt idx="32">
                  <c:v>3.8338658146964688E-2</c:v>
                </c:pt>
                <c:pt idx="33">
                  <c:v>4.8988285410010546E-2</c:v>
                </c:pt>
                <c:pt idx="34">
                  <c:v>5.3141640042598359E-2</c:v>
                </c:pt>
                <c:pt idx="35">
                  <c:v>5.3248136315229067E-2</c:v>
                </c:pt>
                <c:pt idx="36">
                  <c:v>5.9637912673056404E-2</c:v>
                </c:pt>
                <c:pt idx="37">
                  <c:v>5.4313099041533475E-2</c:v>
                </c:pt>
                <c:pt idx="38">
                  <c:v>5.1224707135250069E-2</c:v>
                </c:pt>
                <c:pt idx="39">
                  <c:v>5.3248136315229067E-2</c:v>
                </c:pt>
                <c:pt idx="40">
                  <c:v>6.1767838125665664E-2</c:v>
                </c:pt>
                <c:pt idx="41">
                  <c:v>6.3897763578274702E-2</c:v>
                </c:pt>
                <c:pt idx="42">
                  <c:v>7.5612353567624968E-2</c:v>
                </c:pt>
                <c:pt idx="43">
                  <c:v>0.10223642172523961</c:v>
                </c:pt>
                <c:pt idx="44">
                  <c:v>9.6911608093716683E-2</c:v>
                </c:pt>
                <c:pt idx="45">
                  <c:v>9.9574014909478148E-2</c:v>
                </c:pt>
                <c:pt idx="46">
                  <c:v>7.5612353567624968E-2</c:v>
                </c:pt>
                <c:pt idx="47">
                  <c:v>7.5505857294994483E-2</c:v>
                </c:pt>
                <c:pt idx="48">
                  <c:v>6.6027689030883741E-2</c:v>
                </c:pt>
                <c:pt idx="49">
                  <c:v>7.5612353567624968E-2</c:v>
                </c:pt>
                <c:pt idx="50">
                  <c:v>8.5197018104366418E-2</c:v>
                </c:pt>
                <c:pt idx="51">
                  <c:v>7.1352502662406669E-2</c:v>
                </c:pt>
                <c:pt idx="52">
                  <c:v>7.1246006389776406E-2</c:v>
                </c:pt>
                <c:pt idx="53">
                  <c:v>6.3897763578274702E-2</c:v>
                </c:pt>
                <c:pt idx="54">
                  <c:v>6.1980830670926412E-2</c:v>
                </c:pt>
                <c:pt idx="55">
                  <c:v>6.1767838125665664E-2</c:v>
                </c:pt>
                <c:pt idx="56">
                  <c:v>5.3248136315229067E-2</c:v>
                </c:pt>
                <c:pt idx="57">
                  <c:v>5.3248136315229067E-2</c:v>
                </c:pt>
                <c:pt idx="58">
                  <c:v>5.0692225772097865E-2</c:v>
                </c:pt>
                <c:pt idx="59">
                  <c:v>5.3248136315229067E-2</c:v>
                </c:pt>
                <c:pt idx="60">
                  <c:v>4.8988285410010546E-2</c:v>
                </c:pt>
                <c:pt idx="61">
                  <c:v>4.8988285410010546E-2</c:v>
                </c:pt>
                <c:pt idx="62">
                  <c:v>4.8988285410010546E-2</c:v>
                </c:pt>
                <c:pt idx="63">
                  <c:v>5.271565495207664E-2</c:v>
                </c:pt>
                <c:pt idx="64">
                  <c:v>4.3663471778487617E-2</c:v>
                </c:pt>
                <c:pt idx="65">
                  <c:v>5.0053248136315176E-2</c:v>
                </c:pt>
                <c:pt idx="66">
                  <c:v>5.0053248136315176E-2</c:v>
                </c:pt>
                <c:pt idx="67">
                  <c:v>5.4100106496272504E-2</c:v>
                </c:pt>
                <c:pt idx="68">
                  <c:v>5.6443024494142735E-2</c:v>
                </c:pt>
                <c:pt idx="69">
                  <c:v>6.4856230031948847E-2</c:v>
                </c:pt>
                <c:pt idx="70">
                  <c:v>6.4856230031948847E-2</c:v>
                </c:pt>
                <c:pt idx="71">
                  <c:v>8.6155484558040341E-2</c:v>
                </c:pt>
                <c:pt idx="72">
                  <c:v>7.5505857294994483E-2</c:v>
                </c:pt>
                <c:pt idx="73">
                  <c:v>8.4877529286474962E-2</c:v>
                </c:pt>
                <c:pt idx="74">
                  <c:v>8.4877529286474962E-2</c:v>
                </c:pt>
                <c:pt idx="75">
                  <c:v>8.6261980830670826E-2</c:v>
                </c:pt>
                <c:pt idx="76">
                  <c:v>9.6911608093716683E-2</c:v>
                </c:pt>
                <c:pt idx="77">
                  <c:v>9.1480298189563269E-2</c:v>
                </c:pt>
                <c:pt idx="78">
                  <c:v>9.1480298189563269E-2</c:v>
                </c:pt>
                <c:pt idx="79">
                  <c:v>0.10117145899893498</c:v>
                </c:pt>
                <c:pt idx="80">
                  <c:v>9.6911608093716683E-2</c:v>
                </c:pt>
                <c:pt idx="81">
                  <c:v>0.10223642172523961</c:v>
                </c:pt>
                <c:pt idx="82">
                  <c:v>0.10223642172523961</c:v>
                </c:pt>
                <c:pt idx="83">
                  <c:v>0.10191693290734816</c:v>
                </c:pt>
                <c:pt idx="84">
                  <c:v>0.10191693290734816</c:v>
                </c:pt>
                <c:pt idx="85">
                  <c:v>0.10117145899893498</c:v>
                </c:pt>
                <c:pt idx="86">
                  <c:v>0.10170394036208719</c:v>
                </c:pt>
                <c:pt idx="87">
                  <c:v>3.620873269435565E-2</c:v>
                </c:pt>
                <c:pt idx="88">
                  <c:v>3.4078807241746389E-2</c:v>
                </c:pt>
                <c:pt idx="89">
                  <c:v>3.3013844515441981E-2</c:v>
                </c:pt>
                <c:pt idx="90">
                  <c:v>3.2800851970181011E-2</c:v>
                </c:pt>
                <c:pt idx="91">
                  <c:v>3.4078807241746389E-2</c:v>
                </c:pt>
                <c:pt idx="92">
                  <c:v>3.1948881789137351E-2</c:v>
                </c:pt>
                <c:pt idx="93">
                  <c:v>9.5846645367412275E-3</c:v>
                </c:pt>
                <c:pt idx="94">
                  <c:v>3.2907348242811274E-2</c:v>
                </c:pt>
                <c:pt idx="95">
                  <c:v>3.3013844515441981E-2</c:v>
                </c:pt>
                <c:pt idx="96">
                  <c:v>3.3013844515441981E-2</c:v>
                </c:pt>
                <c:pt idx="97">
                  <c:v>3.2800851970181011E-2</c:v>
                </c:pt>
                <c:pt idx="98">
                  <c:v>2.7689030883919052E-2</c:v>
                </c:pt>
                <c:pt idx="99">
                  <c:v>2.6624068157614422E-2</c:v>
                </c:pt>
                <c:pt idx="100">
                  <c:v>2.0234291799786863E-2</c:v>
                </c:pt>
                <c:pt idx="101">
                  <c:v>6.389776357827337E-3</c:v>
                </c:pt>
                <c:pt idx="102">
                  <c:v>6.389776357827337E-3</c:v>
                </c:pt>
                <c:pt idx="103">
                  <c:v>1.0649627263044081E-3</c:v>
                </c:pt>
                <c:pt idx="104">
                  <c:v>3.1948881789136685E-3</c:v>
                </c:pt>
                <c:pt idx="105">
                  <c:v>2.1299254526090383E-3</c:v>
                </c:pt>
                <c:pt idx="106">
                  <c:v>1.0649627263044081E-3</c:v>
                </c:pt>
                <c:pt idx="107">
                  <c:v>1.9169329073480679E-3</c:v>
                </c:pt>
                <c:pt idx="108">
                  <c:v>-4.3663471778488949E-3</c:v>
                </c:pt>
                <c:pt idx="109">
                  <c:v>-6.389776357827559E-3</c:v>
                </c:pt>
                <c:pt idx="110">
                  <c:v>-2.0234291799787085E-2</c:v>
                </c:pt>
                <c:pt idx="111">
                  <c:v>-3.4611288604898816E-2</c:v>
                </c:pt>
                <c:pt idx="112">
                  <c:v>-3.6208732694355761E-2</c:v>
                </c:pt>
                <c:pt idx="113">
                  <c:v>-3.9403620873269429E-2</c:v>
                </c:pt>
                <c:pt idx="114">
                  <c:v>-9.6911608093718238E-3</c:v>
                </c:pt>
                <c:pt idx="115">
                  <c:v>-1.1821086261980862E-2</c:v>
                </c:pt>
                <c:pt idx="116">
                  <c:v>-2.0021299254526226E-2</c:v>
                </c:pt>
                <c:pt idx="117">
                  <c:v>1.0649627263044081E-3</c:v>
                </c:pt>
                <c:pt idx="118">
                  <c:v>1.0649627263044081E-3</c:v>
                </c:pt>
                <c:pt idx="119">
                  <c:v>2.6624068157614644E-3</c:v>
                </c:pt>
                <c:pt idx="120">
                  <c:v>1.0649627263044081E-3</c:v>
                </c:pt>
                <c:pt idx="121">
                  <c:v>1.0649627263044081E-3</c:v>
                </c:pt>
                <c:pt idx="122">
                  <c:v>1.0649627263044081E-3</c:v>
                </c:pt>
                <c:pt idx="123">
                  <c:v>1.0649627263044081E-3</c:v>
                </c:pt>
                <c:pt idx="124">
                  <c:v>1.0649627263044081E-3</c:v>
                </c:pt>
                <c:pt idx="125">
                  <c:v>1.0649627263044081E-3</c:v>
                </c:pt>
                <c:pt idx="126">
                  <c:v>1.0649627263044081E-3</c:v>
                </c:pt>
                <c:pt idx="127">
                  <c:v>1.0649627263044081E-3</c:v>
                </c:pt>
                <c:pt idx="128">
                  <c:v>0</c:v>
                </c:pt>
                <c:pt idx="129">
                  <c:v>1.0649627263044081E-3</c:v>
                </c:pt>
                <c:pt idx="130">
                  <c:v>1.0649627263044081E-3</c:v>
                </c:pt>
                <c:pt idx="131">
                  <c:v>1.1501597444089517E-2</c:v>
                </c:pt>
                <c:pt idx="132">
                  <c:v>6.389776357827337E-3</c:v>
                </c:pt>
                <c:pt idx="133">
                  <c:v>5.3248136315229289E-3</c:v>
                </c:pt>
                <c:pt idx="134">
                  <c:v>5.3248136315229289E-3</c:v>
                </c:pt>
                <c:pt idx="135">
                  <c:v>7.4547390841319672E-3</c:v>
                </c:pt>
                <c:pt idx="136">
                  <c:v>-1.0649627263046302E-3</c:v>
                </c:pt>
                <c:pt idx="137">
                  <c:v>4.2598509052182987E-3</c:v>
                </c:pt>
                <c:pt idx="138">
                  <c:v>3.1948881789136685E-3</c:v>
                </c:pt>
                <c:pt idx="139">
                  <c:v>3.1948881789136685E-3</c:v>
                </c:pt>
                <c:pt idx="140">
                  <c:v>-1.0649627263046302E-3</c:v>
                </c:pt>
                <c:pt idx="141">
                  <c:v>1.0649627263044081E-3</c:v>
                </c:pt>
                <c:pt idx="142">
                  <c:v>1.0649627263044081E-3</c:v>
                </c:pt>
                <c:pt idx="143">
                  <c:v>1.0649627263044081E-3</c:v>
                </c:pt>
                <c:pt idx="144">
                  <c:v>5.3248136315220407E-4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-5.3248136315242611E-4</c:v>
                </c:pt>
                <c:pt idx="150">
                  <c:v>-2.1299254526091493E-3</c:v>
                </c:pt>
                <c:pt idx="151">
                  <c:v>-2.1299254526091493E-3</c:v>
                </c:pt>
                <c:pt idx="152">
                  <c:v>-2.3429179978700088E-3</c:v>
                </c:pt>
                <c:pt idx="153">
                  <c:v>-2.1299254526091493E-3</c:v>
                </c:pt>
                <c:pt idx="154">
                  <c:v>-1.1714589989350044E-3</c:v>
                </c:pt>
                <c:pt idx="155">
                  <c:v>0</c:v>
                </c:pt>
                <c:pt idx="156">
                  <c:v>0</c:v>
                </c:pt>
                <c:pt idx="157">
                  <c:v>1.0649627263044081E-3</c:v>
                </c:pt>
                <c:pt idx="158">
                  <c:v>2.1299254526097045E-4</c:v>
                </c:pt>
                <c:pt idx="159">
                  <c:v>-2.0234291799787751E-3</c:v>
                </c:pt>
                <c:pt idx="160">
                  <c:v>1.0649627263044081E-3</c:v>
                </c:pt>
                <c:pt idx="161">
                  <c:v>1.0649627263044081E-3</c:v>
                </c:pt>
                <c:pt idx="162">
                  <c:v>1.0649627263044081E-3</c:v>
                </c:pt>
                <c:pt idx="163">
                  <c:v>1.0649627263044081E-3</c:v>
                </c:pt>
                <c:pt idx="164">
                  <c:v>-1.5974440894569453E-3</c:v>
                </c:pt>
                <c:pt idx="165">
                  <c:v>1.7039403620873195E-2</c:v>
                </c:pt>
                <c:pt idx="166">
                  <c:v>1.5867944621938079E-2</c:v>
                </c:pt>
                <c:pt idx="167">
                  <c:v>8.5197018104365974E-3</c:v>
                </c:pt>
                <c:pt idx="168">
                  <c:v>2.2364217252396124E-2</c:v>
                </c:pt>
                <c:pt idx="169">
                  <c:v>2.01277955271566E-2</c:v>
                </c:pt>
                <c:pt idx="170">
                  <c:v>4.2598509052183209E-2</c:v>
                </c:pt>
                <c:pt idx="171">
                  <c:v>4.0362087326943463E-2</c:v>
                </c:pt>
                <c:pt idx="172">
                  <c:v>4.02555910543132E-2</c:v>
                </c:pt>
                <c:pt idx="173">
                  <c:v>5.3141640042598359E-2</c:v>
                </c:pt>
                <c:pt idx="174">
                  <c:v>7.5612353567624968E-2</c:v>
                </c:pt>
                <c:pt idx="175">
                  <c:v>7.5612353567624968E-2</c:v>
                </c:pt>
                <c:pt idx="176">
                  <c:v>7.5612353567624968E-2</c:v>
                </c:pt>
                <c:pt idx="177">
                  <c:v>7.5612353567624968E-2</c:v>
                </c:pt>
                <c:pt idx="178">
                  <c:v>7.3908413205537871E-2</c:v>
                </c:pt>
                <c:pt idx="179">
                  <c:v>7.8168264110755947E-2</c:v>
                </c:pt>
                <c:pt idx="180">
                  <c:v>8.5197018104366418E-2</c:v>
                </c:pt>
                <c:pt idx="181">
                  <c:v>9.6379126730564479E-2</c:v>
                </c:pt>
                <c:pt idx="182">
                  <c:v>0.10330138445154402</c:v>
                </c:pt>
                <c:pt idx="183">
                  <c:v>9.6911608093716683E-2</c:v>
                </c:pt>
                <c:pt idx="184">
                  <c:v>9.6911608093716683E-2</c:v>
                </c:pt>
                <c:pt idx="185">
                  <c:v>9.6272630457933772E-2</c:v>
                </c:pt>
                <c:pt idx="186">
                  <c:v>8.6261980830670826E-2</c:v>
                </c:pt>
                <c:pt idx="187">
                  <c:v>9.361022364217253E-2</c:v>
                </c:pt>
                <c:pt idx="188">
                  <c:v>8.6155484558040341E-2</c:v>
                </c:pt>
                <c:pt idx="189">
                  <c:v>7.5612353567624968E-2</c:v>
                </c:pt>
                <c:pt idx="190">
                  <c:v>7.9872204472843489E-2</c:v>
                </c:pt>
                <c:pt idx="191">
                  <c:v>7.9872204472843489E-2</c:v>
                </c:pt>
                <c:pt idx="192">
                  <c:v>8.594249201277937E-2</c:v>
                </c:pt>
                <c:pt idx="193">
                  <c:v>8.5623003194888136E-2</c:v>
                </c:pt>
                <c:pt idx="194">
                  <c:v>7.6677316293929598E-2</c:v>
                </c:pt>
                <c:pt idx="195">
                  <c:v>7.6677316293929598E-2</c:v>
                </c:pt>
                <c:pt idx="196">
                  <c:v>7.6144834930777394E-2</c:v>
                </c:pt>
                <c:pt idx="197">
                  <c:v>7.6144834930777394E-2</c:v>
                </c:pt>
                <c:pt idx="198">
                  <c:v>9.4781682641107423E-2</c:v>
                </c:pt>
                <c:pt idx="199">
                  <c:v>0.10543130990415328</c:v>
                </c:pt>
                <c:pt idx="200">
                  <c:v>0.10436634717784865</c:v>
                </c:pt>
                <c:pt idx="201">
                  <c:v>0.10117145899893498</c:v>
                </c:pt>
                <c:pt idx="202">
                  <c:v>0.10649627263045791</c:v>
                </c:pt>
                <c:pt idx="203">
                  <c:v>0.10702875399361012</c:v>
                </c:pt>
                <c:pt idx="204">
                  <c:v>0.10969116080937158</c:v>
                </c:pt>
                <c:pt idx="205">
                  <c:v>0.12332268370607036</c:v>
                </c:pt>
                <c:pt idx="206">
                  <c:v>0.1224707135250267</c:v>
                </c:pt>
                <c:pt idx="207">
                  <c:v>0.12353567625133111</c:v>
                </c:pt>
                <c:pt idx="208">
                  <c:v>0.13887113951011698</c:v>
                </c:pt>
                <c:pt idx="209">
                  <c:v>0.14483493077742282</c:v>
                </c:pt>
                <c:pt idx="210">
                  <c:v>0.15015974440894553</c:v>
                </c:pt>
                <c:pt idx="211">
                  <c:v>0.15654952076677309</c:v>
                </c:pt>
                <c:pt idx="212">
                  <c:v>0.15867944621938213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F3-4219-A021-1AC29005A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448672"/>
        <c:axId val="754388016"/>
      </c:lineChart>
      <c:dateAx>
        <c:axId val="629448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388016"/>
        <c:crosses val="autoZero"/>
        <c:auto val="1"/>
        <c:lblOffset val="100"/>
        <c:baseTimeUnit val="days"/>
      </c:dateAx>
      <c:valAx>
        <c:axId val="7543880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4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'Tunisia Stocks'!$L$1</c:f>
              <c:strCache>
                <c:ptCount val="1"/>
                <c:pt idx="0">
                  <c:v>HighLow20Day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Stocks'!$L$2:$L$418</c:f>
              <c:numCache>
                <c:formatCode>0.0%</c:formatCode>
                <c:ptCount val="417"/>
                <c:pt idx="19" formatCode="_(* #,##0.00_);_(* \(#,##0.00\);_(* &quot;-&quot;??_);_(@_)">
                  <c:v>1.1704999999999999</c:v>
                </c:pt>
                <c:pt idx="20" formatCode="_(* #,##0.00_);_(* \(#,##0.00\);_(* &quot;-&quot;??_);_(@_)">
                  <c:v>1.1914999999999991</c:v>
                </c:pt>
                <c:pt idx="21" formatCode="_(* #,##0.00_);_(* \(#,##0.00\);_(* &quot;-&quot;??_);_(@_)">
                  <c:v>1.1794999999999995</c:v>
                </c:pt>
                <c:pt idx="22" formatCode="_(* #,##0.00_);_(* \(#,##0.00\);_(* &quot;-&quot;??_);_(@_)">
                  <c:v>1.1984999999999992</c:v>
                </c:pt>
                <c:pt idx="23" formatCode="_(* #,##0.00_);_(* \(#,##0.00\);_(* &quot;-&quot;??_);_(@_)">
                  <c:v>1.2299999999999991</c:v>
                </c:pt>
                <c:pt idx="24" formatCode="_(* #,##0.00_);_(* \(#,##0.00\);_(* &quot;-&quot;??_);_(@_)">
                  <c:v>1.2524999999999991</c:v>
                </c:pt>
                <c:pt idx="25" formatCode="_(* #,##0.00_);_(* \(#,##0.00\);_(* &quot;-&quot;??_);_(@_)">
                  <c:v>1.2599999999999993</c:v>
                </c:pt>
                <c:pt idx="26" formatCode="_(* #,##0.00_);_(* \(#,##0.00\);_(* &quot;-&quot;??_);_(@_)">
                  <c:v>1.2849999999999995</c:v>
                </c:pt>
                <c:pt idx="27" formatCode="_(* #,##0.00_);_(* \(#,##0.00\);_(* &quot;-&quot;??_);_(@_)">
                  <c:v>1.2759999999999998</c:v>
                </c:pt>
                <c:pt idx="28" formatCode="_(* #,##0.00_);_(* \(#,##0.00\);_(* &quot;-&quot;??_);_(@_)">
                  <c:v>1.2</c:v>
                </c:pt>
                <c:pt idx="29" formatCode="_(* #,##0.00_);_(* \(#,##0.00\);_(* &quot;-&quot;??_);_(@_)">
                  <c:v>1.0800000000000005</c:v>
                </c:pt>
                <c:pt idx="30" formatCode="_(* #,##0.00_);_(* \(#,##0.00\);_(* &quot;-&quot;??_);_(@_)">
                  <c:v>1.0025000000000006</c:v>
                </c:pt>
                <c:pt idx="31" formatCode="_(* #,##0.00_);_(* \(#,##0.00\);_(* &quot;-&quot;??_);_(@_)">
                  <c:v>0.97850000000000104</c:v>
                </c:pt>
                <c:pt idx="32" formatCode="_(* #,##0.00_);_(* \(#,##0.00\);_(* &quot;-&quot;??_);_(@_)">
                  <c:v>0.95250000000000123</c:v>
                </c:pt>
                <c:pt idx="33" formatCode="_(* #,##0.00_);_(* \(#,##0.00\);_(* &quot;-&quot;??_);_(@_)">
                  <c:v>0.9500000000000014</c:v>
                </c:pt>
                <c:pt idx="34" formatCode="_(* #,##0.00_);_(* \(#,##0.00\);_(* &quot;-&quot;??_);_(@_)">
                  <c:v>0.9845000000000006</c:v>
                </c:pt>
                <c:pt idx="35" formatCode="_(* #,##0.00_);_(* \(#,##0.00\);_(* &quot;-&quot;??_);_(@_)">
                  <c:v>0.92950000000000088</c:v>
                </c:pt>
                <c:pt idx="36" formatCode="_(* #,##0.00_);_(* \(#,##0.00\);_(* &quot;-&quot;??_);_(@_)">
                  <c:v>0.86450000000000105</c:v>
                </c:pt>
                <c:pt idx="37" formatCode="_(* #,##0.00_);_(* \(#,##0.00\);_(* &quot;-&quot;??_);_(@_)">
                  <c:v>0.83800000000000097</c:v>
                </c:pt>
                <c:pt idx="38" formatCode="_(* #,##0.00_);_(* \(#,##0.00\);_(* &quot;-&quot;??_);_(@_)">
                  <c:v>0.81650000000000067</c:v>
                </c:pt>
                <c:pt idx="39" formatCode="_(* #,##0.00_);_(* \(#,##0.00\);_(* &quot;-&quot;??_);_(@_)">
                  <c:v>0.79400000000000048</c:v>
                </c:pt>
                <c:pt idx="40" formatCode="_(* #,##0.00_);_(* \(#,##0.00\);_(* &quot;-&quot;??_);_(@_)">
                  <c:v>0.80900000000000105</c:v>
                </c:pt>
                <c:pt idx="41" formatCode="_(* #,##0.00_);_(* \(#,##0.00\);_(* &quot;-&quot;??_);_(@_)">
                  <c:v>0.78900000000000081</c:v>
                </c:pt>
                <c:pt idx="42" formatCode="_(* #,##0.00_);_(* \(#,##0.00\);_(* &quot;-&quot;??_);_(@_)">
                  <c:v>0.85000000000000075</c:v>
                </c:pt>
                <c:pt idx="43" formatCode="_(* #,##0.00_);_(* \(#,##0.00\);_(* &quot;-&quot;??_);_(@_)">
                  <c:v>0.92600000000000049</c:v>
                </c:pt>
                <c:pt idx="44" formatCode="_(* #,##0.00_);_(* \(#,##0.00\);_(* &quot;-&quot;??_);_(@_)">
                  <c:v>0.93850000000000056</c:v>
                </c:pt>
                <c:pt idx="45" formatCode="_(* #,##0.00_);_(* \(#,##0.00\);_(* &quot;-&quot;??_);_(@_)">
                  <c:v>0.94299999999999995</c:v>
                </c:pt>
                <c:pt idx="46" formatCode="_(* #,##0.00_);_(* \(#,##0.00\);_(* &quot;-&quot;??_);_(@_)">
                  <c:v>1.0385000000000004</c:v>
                </c:pt>
                <c:pt idx="47" formatCode="_(* #,##0.00_);_(* \(#,##0.00\);_(* &quot;-&quot;??_);_(@_)">
                  <c:v>1.0325000000000002</c:v>
                </c:pt>
                <c:pt idx="48" formatCode="_(* #,##0.00_);_(* \(#,##0.00\);_(* &quot;-&quot;??_);_(@_)">
                  <c:v>1.0485</c:v>
                </c:pt>
                <c:pt idx="49" formatCode="_(* #,##0.00_);_(* \(#,##0.00\);_(* &quot;-&quot;??_);_(@_)">
                  <c:v>1.1634999999999998</c:v>
                </c:pt>
                <c:pt idx="50" formatCode="_(* #,##0.00_);_(* \(#,##0.00\);_(* &quot;-&quot;??_);_(@_)">
                  <c:v>1.1984999999999992</c:v>
                </c:pt>
                <c:pt idx="51" formatCode="_(* #,##0.00_);_(* \(#,##0.00\);_(* &quot;-&quot;??_);_(@_)">
                  <c:v>1.1934999999999996</c:v>
                </c:pt>
                <c:pt idx="52" formatCode="_(* #,##0.00_);_(* \(#,##0.00\);_(* &quot;-&quot;??_);_(@_)">
                  <c:v>1.1794999999999995</c:v>
                </c:pt>
                <c:pt idx="53" formatCode="_(* #,##0.00_);_(* \(#,##0.00\);_(* &quot;-&quot;??_);_(@_)">
                  <c:v>1.1569999999999994</c:v>
                </c:pt>
                <c:pt idx="54" formatCode="_(* #,##0.00_);_(* \(#,##0.00\);_(* &quot;-&quot;??_);_(@_)">
                  <c:v>1.1399999999999999</c:v>
                </c:pt>
                <c:pt idx="55" formatCode="_(* #,##0.00_);_(* \(#,##0.00\);_(* &quot;-&quot;??_);_(@_)">
                  <c:v>1.1434999999999995</c:v>
                </c:pt>
                <c:pt idx="56" formatCode="_(* #,##0.00_);_(* \(#,##0.00\);_(* &quot;-&quot;??_);_(@_)">
                  <c:v>1.1534999999999997</c:v>
                </c:pt>
                <c:pt idx="57" formatCode="_(* #,##0.00_);_(* \(#,##0.00\);_(* &quot;-&quot;??_);_(@_)">
                  <c:v>1.1899999999999991</c:v>
                </c:pt>
                <c:pt idx="58" formatCode="_(* #,##0.00_);_(* \(#,##0.00\);_(* &quot;-&quot;??_);_(@_)">
                  <c:v>1.1924999999999997</c:v>
                </c:pt>
                <c:pt idx="59" formatCode="_(* #,##0.00_);_(* \(#,##0.00\);_(* &quot;-&quot;??_);_(@_)">
                  <c:v>1.2050000000000005</c:v>
                </c:pt>
                <c:pt idx="60" formatCode="_(* #,##0.00_);_(* \(#,##0.00\);_(* &quot;-&quot;??_);_(@_)">
                  <c:v>1.19</c:v>
                </c:pt>
                <c:pt idx="61" formatCode="_(* #,##0.00_);_(* \(#,##0.00\);_(* &quot;-&quot;??_);_(@_)">
                  <c:v>1.2350000000000001</c:v>
                </c:pt>
                <c:pt idx="62" formatCode="_(* #,##0.00_);_(* \(#,##0.00\);_(* &quot;-&quot;??_);_(@_)">
                  <c:v>1.1665000000000005</c:v>
                </c:pt>
                <c:pt idx="63" formatCode="_(* #,##0.00_);_(* \(#,##0.00\);_(* &quot;-&quot;??_);_(@_)">
                  <c:v>1.0660000000000003</c:v>
                </c:pt>
                <c:pt idx="64" formatCode="_(* #,##0.00_);_(* \(#,##0.00\);_(* &quot;-&quot;??_);_(@_)">
                  <c:v>1.0884999999999998</c:v>
                </c:pt>
                <c:pt idx="65" formatCode="_(* #,##0.00_);_(* \(#,##0.00\);_(* &quot;-&quot;??_);_(@_)">
                  <c:v>1.0985</c:v>
                </c:pt>
                <c:pt idx="66" formatCode="_(* #,##0.00_);_(* \(#,##0.00\);_(* &quot;-&quot;??_);_(@_)">
                  <c:v>0.9784999999999997</c:v>
                </c:pt>
                <c:pt idx="67" formatCode="_(* #,##0.00_);_(* \(#,##0.00\);_(* &quot;-&quot;??_);_(@_)">
                  <c:v>0.9784999999999997</c:v>
                </c:pt>
                <c:pt idx="68" formatCode="_(* #,##0.00_);_(* \(#,##0.00\);_(* &quot;-&quot;??_);_(@_)">
                  <c:v>0.94899999999999951</c:v>
                </c:pt>
                <c:pt idx="69" formatCode="_(* #,##0.00_);_(* \(#,##0.00\);_(* &quot;-&quot;??_);_(@_)">
                  <c:v>0.8539999999999992</c:v>
                </c:pt>
                <c:pt idx="70" formatCode="_(* #,##0.00_);_(* \(#,##0.00\);_(* &quot;-&quot;??_);_(@_)">
                  <c:v>0.81899999999999973</c:v>
                </c:pt>
                <c:pt idx="71" formatCode="_(* #,##0.00_);_(* \(#,##0.00\);_(* &quot;-&quot;??_);_(@_)">
                  <c:v>0.87449999999999972</c:v>
                </c:pt>
                <c:pt idx="72" formatCode="_(* #,##0.00_);_(* \(#,##0.00\);_(* &quot;-&quot;??_);_(@_)">
                  <c:v>0.95899999999999963</c:v>
                </c:pt>
                <c:pt idx="73" formatCode="_(* #,##0.00_);_(* \(#,##0.00\);_(* &quot;-&quot;??_);_(@_)">
                  <c:v>0.96499999999999986</c:v>
                </c:pt>
                <c:pt idx="74" formatCode="_(* #,##0.00_);_(* \(#,##0.00\);_(* &quot;-&quot;??_);_(@_)">
                  <c:v>0.96000000000000019</c:v>
                </c:pt>
                <c:pt idx="75" formatCode="_(* #,##0.00_);_(* \(#,##0.00\);_(* &quot;-&quot;??_);_(@_)">
                  <c:v>0.98049999999999993</c:v>
                </c:pt>
                <c:pt idx="76" formatCode="_(* #,##0.00_);_(* \(#,##0.00\);_(* &quot;-&quot;??_);_(@_)">
                  <c:v>0.95549999999999924</c:v>
                </c:pt>
                <c:pt idx="77" formatCode="_(* #,##0.00_);_(* \(#,##0.00\);_(* &quot;-&quot;??_);_(@_)">
                  <c:v>0.92549999999999955</c:v>
                </c:pt>
                <c:pt idx="78" formatCode="_(* #,##0.00_);_(* \(#,##0.00\);_(* &quot;-&quot;??_);_(@_)">
                  <c:v>0.93599999999999928</c:v>
                </c:pt>
                <c:pt idx="79" formatCode="_(* #,##0.00_);_(* \(#,##0.00\);_(* &quot;-&quot;??_);_(@_)">
                  <c:v>0.96999999999999886</c:v>
                </c:pt>
                <c:pt idx="80" formatCode="_(* #,##0.00_);_(* \(#,##0.00\);_(* &quot;-&quot;??_);_(@_)">
                  <c:v>0.9789999999999992</c:v>
                </c:pt>
                <c:pt idx="81" formatCode="_(* #,##0.00_);_(* \(#,##0.00\);_(* &quot;-&quot;??_);_(@_)">
                  <c:v>0.97399999999999953</c:v>
                </c:pt>
                <c:pt idx="82" formatCode="_(* #,##0.00_);_(* \(#,##0.00\);_(* &quot;-&quot;??_);_(@_)">
                  <c:v>0.9379999999999995</c:v>
                </c:pt>
                <c:pt idx="83" formatCode="_(* #,##0.00_);_(* \(#,##0.00\);_(* &quot;-&quot;??_);_(@_)">
                  <c:v>0.91499999999999981</c:v>
                </c:pt>
                <c:pt idx="84" formatCode="_(* #,##0.00_);_(* \(#,##0.00\);_(* &quot;-&quot;??_);_(@_)">
                  <c:v>0.94250000000000045</c:v>
                </c:pt>
                <c:pt idx="85" formatCode="_(* #,##0.00_);_(* \(#,##0.00\);_(* &quot;-&quot;??_);_(@_)">
                  <c:v>0.9655000000000008</c:v>
                </c:pt>
                <c:pt idx="86" formatCode="_(* #,##0.00_);_(* \(#,##0.00\);_(* &quot;-&quot;??_);_(@_)">
                  <c:v>1.0030000000000008</c:v>
                </c:pt>
                <c:pt idx="87" formatCode="_(* #,##0.00_);_(* \(#,##0.00\);_(* &quot;-&quot;??_);_(@_)">
                  <c:v>1.0185000000000008</c:v>
                </c:pt>
                <c:pt idx="88" formatCode="_(* #,##0.00_);_(* \(#,##0.00\);_(* &quot;-&quot;??_);_(@_)">
                  <c:v>1.0185000000000008</c:v>
                </c:pt>
                <c:pt idx="89" formatCode="_(* #,##0.00_);_(* \(#,##0.00\);_(* &quot;-&quot;??_);_(@_)">
                  <c:v>0.98850000000000049</c:v>
                </c:pt>
                <c:pt idx="90" formatCode="_(* #,##0.00_);_(* \(#,##0.00\);_(* &quot;-&quot;??_);_(@_)">
                  <c:v>0.98750000000000004</c:v>
                </c:pt>
                <c:pt idx="91" formatCode="_(* #,##0.00_);_(* \(#,##0.00\);_(* &quot;-&quot;??_);_(@_)">
                  <c:v>0.9094999999999992</c:v>
                </c:pt>
                <c:pt idx="92" formatCode="_(* #,##0.00_);_(* \(#,##0.00\);_(* &quot;-&quot;??_);_(@_)">
                  <c:v>0.81999999999999884</c:v>
                </c:pt>
                <c:pt idx="93" formatCode="_(* #,##0.00_);_(* \(#,##0.00\);_(* &quot;-&quot;??_);_(@_)">
                  <c:v>0.91499999999999915</c:v>
                </c:pt>
                <c:pt idx="94" formatCode="_(* #,##0.00_);_(* \(#,##0.00\);_(* &quot;-&quot;??_);_(@_)">
                  <c:v>0.9249999999999986</c:v>
                </c:pt>
                <c:pt idx="95" formatCode="_(* #,##0.00_);_(* \(#,##0.00\);_(* &quot;-&quot;??_);_(@_)">
                  <c:v>0.88349999999999862</c:v>
                </c:pt>
                <c:pt idx="96" formatCode="_(* #,##0.00_);_(* \(#,##0.00\);_(* &quot;-&quot;??_);_(@_)">
                  <c:v>0.8284999999999989</c:v>
                </c:pt>
                <c:pt idx="97" formatCode="_(* #,##0.00_);_(* \(#,##0.00\);_(* &quot;-&quot;??_);_(@_)">
                  <c:v>0.78099999999999881</c:v>
                </c:pt>
                <c:pt idx="98" formatCode="_(* #,##0.00_);_(* \(#,##0.00\);_(* &quot;-&quot;??_);_(@_)">
                  <c:v>0.76549999999999874</c:v>
                </c:pt>
                <c:pt idx="99" formatCode="_(* #,##0.00_);_(* \(#,##0.00\);_(* &quot;-&quot;??_);_(@_)">
                  <c:v>0.70649999999999835</c:v>
                </c:pt>
                <c:pt idx="100" formatCode="_(* #,##0.00_);_(* \(#,##0.00\);_(* &quot;-&quot;??_);_(@_)">
                  <c:v>0.83199999999999785</c:v>
                </c:pt>
                <c:pt idx="101" formatCode="_(* #,##0.00_);_(* \(#,##0.00\);_(* &quot;-&quot;??_);_(@_)">
                  <c:v>0.84449999999999792</c:v>
                </c:pt>
                <c:pt idx="102" formatCode="_(* #,##0.00_);_(* \(#,##0.00\);_(* &quot;-&quot;??_);_(@_)">
                  <c:v>0.9189999999999976</c:v>
                </c:pt>
                <c:pt idx="103" formatCode="_(* #,##0.00_);_(* \(#,##0.00\);_(* &quot;-&quot;??_);_(@_)">
                  <c:v>0.99749999999999728</c:v>
                </c:pt>
                <c:pt idx="104" formatCode="_(* #,##0.00_);_(* \(#,##0.00\);_(* &quot;-&quot;??_);_(@_)">
                  <c:v>0.94749999999999734</c:v>
                </c:pt>
                <c:pt idx="105" formatCode="_(* #,##0.00_);_(* \(#,##0.00\);_(* &quot;-&quot;??_);_(@_)">
                  <c:v>0.87799999999999723</c:v>
                </c:pt>
                <c:pt idx="106" formatCode="_(* #,##0.00_);_(* \(#,##0.00\);_(* &quot;-&quot;??_);_(@_)">
                  <c:v>0.88799999999999746</c:v>
                </c:pt>
                <c:pt idx="107" formatCode="_(* #,##0.00_);_(* \(#,##0.00\);_(* &quot;-&quot;??_);_(@_)">
                  <c:v>0.87249999999999728</c:v>
                </c:pt>
                <c:pt idx="108" formatCode="_(* #,##0.00_);_(* \(#,##0.00\);_(* &quot;-&quot;??_);_(@_)">
                  <c:v>1.009499999999997</c:v>
                </c:pt>
                <c:pt idx="109" formatCode="_(* #,##0.00_);_(* \(#,##0.00\);_(* &quot;-&quot;??_);_(@_)">
                  <c:v>1.0679999999999978</c:v>
                </c:pt>
                <c:pt idx="110" formatCode="_(* #,##0.00_);_(* \(#,##0.00\);_(* &quot;-&quot;??_);_(@_)">
                  <c:v>1.1139999999999979</c:v>
                </c:pt>
                <c:pt idx="111" formatCode="_(* #,##0.00_);_(* \(#,##0.00\);_(* &quot;-&quot;??_);_(@_)">
                  <c:v>1.1814999999999984</c:v>
                </c:pt>
                <c:pt idx="112" formatCode="_(* #,##0.00_);_(* \(#,##0.00\);_(* &quot;-&quot;??_);_(@_)">
                  <c:v>1.220499999999999</c:v>
                </c:pt>
                <c:pt idx="113" formatCode="_(* #,##0.00_);_(* \(#,##0.00\);_(* &quot;-&quot;??_);_(@_)">
                  <c:v>1.1049999999999982</c:v>
                </c:pt>
                <c:pt idx="114" formatCode="_(* #,##0.00_);_(* \(#,##0.00\);_(* &quot;-&quot;??_);_(@_)">
                  <c:v>1.1899999999999984</c:v>
                </c:pt>
                <c:pt idx="115" formatCode="_(* #,##0.00_);_(* \(#,##0.00\);_(* &quot;-&quot;??_);_(@_)">
                  <c:v>1.1994999999999982</c:v>
                </c:pt>
                <c:pt idx="116" formatCode="_(* #,##0.00_);_(* \(#,##0.00\);_(* &quot;-&quot;??_);_(@_)">
                  <c:v>1.2389999999999985</c:v>
                </c:pt>
                <c:pt idx="117" formatCode="_(* #,##0.00_);_(* \(#,##0.00\);_(* &quot;-&quot;??_);_(@_)">
                  <c:v>1.3404999999999987</c:v>
                </c:pt>
                <c:pt idx="118" formatCode="_(* #,##0.00_);_(* \(#,##0.00\);_(* &quot;-&quot;??_);_(@_)">
                  <c:v>1.3569999999999987</c:v>
                </c:pt>
                <c:pt idx="119" formatCode="_(* #,##0.00_);_(* \(#,##0.00\);_(* &quot;-&quot;??_);_(@_)">
                  <c:v>1.349499999999999</c:v>
                </c:pt>
                <c:pt idx="120" formatCode="_(* #,##0.00_);_(* \(#,##0.00\);_(* &quot;-&quot;??_);_(@_)">
                  <c:v>1.2474999999999994</c:v>
                </c:pt>
                <c:pt idx="121" formatCode="_(* #,##0.00_);_(* \(#,##0.00\);_(* &quot;-&quot;??_);_(@_)">
                  <c:v>1.2224999999999995</c:v>
                </c:pt>
                <c:pt idx="122" formatCode="_(* #,##0.00_);_(* \(#,##0.00\);_(* &quot;-&quot;??_);_(@_)">
                  <c:v>1.1799999999999997</c:v>
                </c:pt>
                <c:pt idx="123" formatCode="_(* #,##0.00_);_(* \(#,##0.00\);_(* &quot;-&quot;??_);_(@_)">
                  <c:v>1.2250000000000001</c:v>
                </c:pt>
                <c:pt idx="124" formatCode="_(* #,##0.00_);_(* \(#,##0.00\);_(* &quot;-&quot;??_);_(@_)">
                  <c:v>1.2399999999999998</c:v>
                </c:pt>
                <c:pt idx="125" formatCode="_(* #,##0.00_);_(* \(#,##0.00\);_(* &quot;-&quot;??_);_(@_)">
                  <c:v>1.2839999999999996</c:v>
                </c:pt>
                <c:pt idx="126" formatCode="_(* #,##0.00_);_(* \(#,##0.00\);_(* &quot;-&quot;??_);_(@_)">
                  <c:v>1.2414999999999998</c:v>
                </c:pt>
                <c:pt idx="127" formatCode="_(* #,##0.00_);_(* \(#,##0.00\);_(* &quot;-&quot;??_);_(@_)">
                  <c:v>1.2270000000000003</c:v>
                </c:pt>
                <c:pt idx="128" formatCode="_(* #,##0.00_);_(* \(#,##0.00\);_(* &quot;-&quot;??_);_(@_)">
                  <c:v>1.1300000000000003</c:v>
                </c:pt>
                <c:pt idx="129" formatCode="_(* #,##0.00_);_(* \(#,##0.00\);_(* &quot;-&quot;??_);_(@_)">
                  <c:v>1.0665</c:v>
                </c:pt>
                <c:pt idx="130" formatCode="_(* #,##0.00_);_(* \(#,##0.00\);_(* &quot;-&quot;??_);_(@_)">
                  <c:v>1.0854999999999997</c:v>
                </c:pt>
                <c:pt idx="131" formatCode="_(* #,##0.00_);_(* \(#,##0.00\);_(* &quot;-&quot;??_);_(@_)">
                  <c:v>1.0454999999999999</c:v>
                </c:pt>
                <c:pt idx="132" formatCode="_(* #,##0.00_);_(* \(#,##0.00\);_(* &quot;-&quot;??_);_(@_)">
                  <c:v>1.0449999999999995</c:v>
                </c:pt>
                <c:pt idx="133" formatCode="_(* #,##0.00_);_(* \(#,##0.00\);_(* &quot;-&quot;??_);_(@_)">
                  <c:v>1.0465000000000004</c:v>
                </c:pt>
                <c:pt idx="134" formatCode="_(* #,##0.00_);_(* \(#,##0.00\);_(* &quot;-&quot;??_);_(@_)">
                  <c:v>0.93150000000000044</c:v>
                </c:pt>
                <c:pt idx="135" formatCode="_(* #,##0.00_);_(* \(#,##0.00\);_(* &quot;-&quot;??_);_(@_)">
                  <c:v>0.91200000000000048</c:v>
                </c:pt>
                <c:pt idx="136" formatCode="_(* #,##0.00_);_(* \(#,##0.00\);_(* &quot;-&quot;??_);_(@_)">
                  <c:v>0.90750000000000031</c:v>
                </c:pt>
                <c:pt idx="137" formatCode="_(* #,##0.00_);_(* \(#,##0.00\);_(* &quot;-&quot;??_);_(@_)">
                  <c:v>0.85300000000000009</c:v>
                </c:pt>
                <c:pt idx="138" formatCode="_(* #,##0.00_);_(* \(#,##0.00\);_(* &quot;-&quot;??_);_(@_)">
                  <c:v>0.81799999999999995</c:v>
                </c:pt>
                <c:pt idx="139" formatCode="_(* #,##0.00_);_(* \(#,##0.00\);_(* &quot;-&quot;??_);_(@_)">
                  <c:v>0.82549999999999957</c:v>
                </c:pt>
                <c:pt idx="140" formatCode="_(* #,##0.00_);_(* \(#,##0.00\);_(* &quot;-&quot;??_);_(@_)">
                  <c:v>0.80299999999999938</c:v>
                </c:pt>
                <c:pt idx="141" formatCode="_(* #,##0.00_);_(* \(#,##0.00\);_(* &quot;-&quot;??_);_(@_)">
                  <c:v>0.810499999999999</c:v>
                </c:pt>
                <c:pt idx="142" formatCode="_(* #,##0.00_);_(* \(#,##0.00\);_(* &quot;-&quot;??_);_(@_)">
                  <c:v>0.7999999999999986</c:v>
                </c:pt>
                <c:pt idx="143" formatCode="_(* #,##0.00_);_(* \(#,##0.00\);_(* &quot;-&quot;??_);_(@_)">
                  <c:v>0.69999999999999862</c:v>
                </c:pt>
                <c:pt idx="144" formatCode="_(* #,##0.00_);_(* \(#,##0.00\);_(* &quot;-&quot;??_);_(@_)">
                  <c:v>0.6599999999999987</c:v>
                </c:pt>
                <c:pt idx="145" formatCode="_(* #,##0.00_);_(* \(#,##0.00\);_(* &quot;-&quot;??_);_(@_)">
                  <c:v>0.6149999999999991</c:v>
                </c:pt>
                <c:pt idx="146" formatCode="_(* #,##0.00_);_(* \(#,##0.00\);_(* &quot;-&quot;??_);_(@_)">
                  <c:v>0.59899999999999953</c:v>
                </c:pt>
                <c:pt idx="147" formatCode="_(* #,##0.00_);_(* \(#,##0.00\);_(* &quot;-&quot;??_);_(@_)">
                  <c:v>0.63399999999999967</c:v>
                </c:pt>
                <c:pt idx="148" formatCode="_(* #,##0.00_);_(* \(#,##0.00\);_(* &quot;-&quot;??_);_(@_)">
                  <c:v>0.5840000000000003</c:v>
                </c:pt>
                <c:pt idx="149" formatCode="_(* #,##0.00_);_(* \(#,##0.00\);_(* &quot;-&quot;??_);_(@_)">
                  <c:v>0.60850000000000082</c:v>
                </c:pt>
                <c:pt idx="150" formatCode="_(* #,##0.00_);_(* \(#,##0.00\);_(* &quot;-&quot;??_);_(@_)">
                  <c:v>0.54700000000000126</c:v>
                </c:pt>
                <c:pt idx="151" formatCode="_(* #,##0.00_);_(* \(#,##0.00\);_(* &quot;-&quot;??_);_(@_)">
                  <c:v>0.53200000000000147</c:v>
                </c:pt>
                <c:pt idx="152" formatCode="_(* #,##0.00_);_(* \(#,##0.00\);_(* &quot;-&quot;??_);_(@_)">
                  <c:v>0.50250000000000195</c:v>
                </c:pt>
                <c:pt idx="153" formatCode="_(* #,##0.00_);_(* \(#,##0.00\);_(* &quot;-&quot;??_);_(@_)">
                  <c:v>0.48100000000000165</c:v>
                </c:pt>
                <c:pt idx="154" formatCode="_(* #,##0.00_);_(* \(#,##0.00\);_(* &quot;-&quot;??_);_(@_)">
                  <c:v>0.46100000000000135</c:v>
                </c:pt>
                <c:pt idx="155" formatCode="_(* #,##0.00_);_(* \(#,##0.00\);_(* &quot;-&quot;??_);_(@_)">
                  <c:v>0.46150000000000163</c:v>
                </c:pt>
                <c:pt idx="156" formatCode="_(* #,##0.00_);_(* \(#,##0.00\);_(* &quot;-&quot;??_);_(@_)">
                  <c:v>0.43500000000000155</c:v>
                </c:pt>
                <c:pt idx="157" formatCode="_(* #,##0.00_);_(* \(#,##0.00\);_(* &quot;-&quot;??_);_(@_)">
                  <c:v>0.39050000000000151</c:v>
                </c:pt>
                <c:pt idx="158" formatCode="_(* #,##0.00_);_(* \(#,##0.00\);_(* &quot;-&quot;??_);_(@_)">
                  <c:v>0.39450000000000146</c:v>
                </c:pt>
                <c:pt idx="159" formatCode="_(* #,##0.00_);_(* \(#,##0.00\);_(* &quot;-&quot;??_);_(@_)">
                  <c:v>0.38900000000000218</c:v>
                </c:pt>
                <c:pt idx="160" formatCode="_(* #,##0.00_);_(* \(#,##0.00\);_(* &quot;-&quot;??_);_(@_)">
                  <c:v>0.35350000000000248</c:v>
                </c:pt>
                <c:pt idx="161" formatCode="_(* #,##0.00_);_(* \(#,##0.00\);_(* &quot;-&quot;??_);_(@_)">
                  <c:v>0.32800000000000296</c:v>
                </c:pt>
                <c:pt idx="162" formatCode="_(* #,##0.00_);_(* \(#,##0.00\);_(* &quot;-&quot;??_);_(@_)">
                  <c:v>0.32050000000000339</c:v>
                </c:pt>
                <c:pt idx="163" formatCode="_(* #,##0.00_);_(* \(#,##0.00\);_(* &quot;-&quot;??_);_(@_)">
                  <c:v>0.3005000000000031</c:v>
                </c:pt>
                <c:pt idx="164" formatCode="_(* #,##0.00_);_(* \(#,##0.00\);_(* &quot;-&quot;??_);_(@_)">
                  <c:v>0.32500000000000284</c:v>
                </c:pt>
                <c:pt idx="165" formatCode="_(* #,##0.00_);_(* \(#,##0.00\);_(* &quot;-&quot;??_);_(@_)">
                  <c:v>0.45400000000000273</c:v>
                </c:pt>
                <c:pt idx="166" formatCode="_(* #,##0.00_);_(* \(#,##0.00\);_(* &quot;-&quot;??_);_(@_)">
                  <c:v>0.47500000000000214</c:v>
                </c:pt>
                <c:pt idx="167" formatCode="_(* #,##0.00_);_(* \(#,##0.00\);_(* &quot;-&quot;??_);_(@_)">
                  <c:v>0.47000000000000169</c:v>
                </c:pt>
                <c:pt idx="168" formatCode="_(* #,##0.00_);_(* \(#,##0.00\);_(* &quot;-&quot;??_);_(@_)">
                  <c:v>0.54000000000000126</c:v>
                </c:pt>
                <c:pt idx="169" formatCode="_(* #,##0.00_);_(* \(#,##0.00\);_(* &quot;-&quot;??_);_(@_)">
                  <c:v>0.53300000000000125</c:v>
                </c:pt>
                <c:pt idx="170" formatCode="_(* #,##0.00_);_(* \(#,##0.00\);_(* &quot;-&quot;??_);_(@_)">
                  <c:v>0.63050000000000139</c:v>
                </c:pt>
                <c:pt idx="171" formatCode="_(* #,##0.00_);_(* \(#,##0.00\);_(* &quot;-&quot;??_);_(@_)">
                  <c:v>0.68550000000000111</c:v>
                </c:pt>
                <c:pt idx="172" formatCode="_(* #,##0.00_);_(* \(#,##0.00\);_(* &quot;-&quot;??_);_(@_)">
                  <c:v>0.70400000000000063</c:v>
                </c:pt>
                <c:pt idx="173" formatCode="_(* #,##0.00_);_(* \(#,##0.00\);_(* &quot;-&quot;??_);_(@_)">
                  <c:v>0.75450000000000017</c:v>
                </c:pt>
                <c:pt idx="174" formatCode="_(* #,##0.00_);_(* \(#,##0.00\);_(* &quot;-&quot;??_);_(@_)">
                  <c:v>0.90000000000000069</c:v>
                </c:pt>
                <c:pt idx="175" formatCode="_(* #,##0.00_);_(* \(#,##0.00\);_(* &quot;-&quot;??_);_(@_)">
                  <c:v>0.9590000000000003</c:v>
                </c:pt>
                <c:pt idx="176" formatCode="_(* #,##0.00_);_(* \(#,##0.00\);_(* &quot;-&quot;??_);_(@_)">
                  <c:v>1.0005000000000002</c:v>
                </c:pt>
                <c:pt idx="177" formatCode="_(* #,##0.00_);_(* \(#,##0.00\);_(* &quot;-&quot;??_);_(@_)">
                  <c:v>1.0255000000000003</c:v>
                </c:pt>
                <c:pt idx="178" formatCode="_(* #,##0.00_);_(* \(#,##0.00\);_(* &quot;-&quot;??_);_(@_)">
                  <c:v>1.0265000000000009</c:v>
                </c:pt>
                <c:pt idx="179" formatCode="_(* #,##0.00_);_(* \(#,##0.00\);_(* &quot;-&quot;??_);_(@_)">
                  <c:v>1.032</c:v>
                </c:pt>
                <c:pt idx="180" formatCode="_(* #,##0.00_);_(* \(#,##0.00\);_(* &quot;-&quot;??_);_(@_)">
                  <c:v>1.0625</c:v>
                </c:pt>
                <c:pt idx="181" formatCode="_(* #,##0.00_);_(* \(#,##0.00\);_(* &quot;-&quot;??_);_(@_)">
                  <c:v>1.1529999999999994</c:v>
                </c:pt>
                <c:pt idx="182" formatCode="_(* #,##0.00_);_(* \(#,##0.00\);_(* &quot;-&quot;??_);_(@_)">
                  <c:v>1.1909999999999989</c:v>
                </c:pt>
                <c:pt idx="183" formatCode="_(* #,##0.00_);_(* \(#,##0.00\);_(* &quot;-&quot;??_);_(@_)">
                  <c:v>1.2379999999999989</c:v>
                </c:pt>
                <c:pt idx="184" formatCode="_(* #,##0.00_);_(* \(#,##0.00\);_(* &quot;-&quot;??_);_(@_)">
                  <c:v>1.2209999999999988</c:v>
                </c:pt>
                <c:pt idx="185" formatCode="_(* #,##0.00_);_(* \(#,##0.00\);_(* &quot;-&quot;??_);_(@_)">
                  <c:v>1.2869999999999984</c:v>
                </c:pt>
                <c:pt idx="186" formatCode="_(* #,##0.00_);_(* \(#,##0.00\);_(* &quot;-&quot;??_);_(@_)">
                  <c:v>1.291999999999998</c:v>
                </c:pt>
                <c:pt idx="187" formatCode="_(* #,##0.00_);_(* \(#,##0.00\);_(* &quot;-&quot;??_);_(@_)">
                  <c:v>1.2914999999999979</c:v>
                </c:pt>
                <c:pt idx="188" formatCode="_(* #,##0.00_);_(* \(#,##0.00\);_(* &quot;-&quot;??_);_(@_)">
                  <c:v>1.3514999999999979</c:v>
                </c:pt>
                <c:pt idx="189" formatCode="_(* #,##0.00_);_(* \(#,##0.00\);_(* &quot;-&quot;??_);_(@_)">
                  <c:v>1.3779999999999979</c:v>
                </c:pt>
                <c:pt idx="190" formatCode="_(* #,##0.00_);_(* \(#,##0.00\);_(* &quot;-&quot;??_);_(@_)">
                  <c:v>1.3069999999999979</c:v>
                </c:pt>
                <c:pt idx="191" formatCode="_(* #,##0.00_);_(* \(#,##0.00\);_(* &quot;-&quot;??_);_(@_)">
                  <c:v>1.2659999999999982</c:v>
                </c:pt>
                <c:pt idx="192" formatCode="_(* #,##0.00_);_(* \(#,##0.00\);_(* &quot;-&quot;??_);_(@_)">
                  <c:v>1.2299999999999982</c:v>
                </c:pt>
                <c:pt idx="193" formatCode="_(* #,##0.00_);_(* \(#,##0.00\);_(* &quot;-&quot;??_);_(@_)">
                  <c:v>1.2059999999999989</c:v>
                </c:pt>
                <c:pt idx="194" formatCode="_(* #,##0.00_);_(* \(#,##0.00\);_(* &quot;-&quot;??_);_(@_)">
                  <c:v>1.0904999999999987</c:v>
                </c:pt>
                <c:pt idx="195" formatCode="_(* #,##0.00_);_(* \(#,##0.00\);_(* &quot;-&quot;??_);_(@_)">
                  <c:v>1.053499999999999</c:v>
                </c:pt>
                <c:pt idx="196" formatCode="_(* #,##0.00_);_(* \(#,##0.00\);_(* &quot;-&quot;??_);_(@_)">
                  <c:v>1.0084999999999986</c:v>
                </c:pt>
                <c:pt idx="197" formatCode="_(* #,##0.00_);_(* \(#,##0.00\);_(* &quot;-&quot;??_);_(@_)">
                  <c:v>1.0084999999999986</c:v>
                </c:pt>
                <c:pt idx="198" formatCode="_(* #,##0.00_);_(* \(#,##0.00\);_(* &quot;-&quot;??_);_(@_)">
                  <c:v>1.0539999999999985</c:v>
                </c:pt>
                <c:pt idx="199" formatCode="_(* #,##0.00_);_(* \(#,##0.00\);_(* &quot;-&quot;??_);_(@_)">
                  <c:v>1.0839999999999983</c:v>
                </c:pt>
                <c:pt idx="200" formatCode="_(* #,##0.00_);_(* \(#,##0.00\);_(* &quot;-&quot;??_);_(@_)">
                  <c:v>1.0439999999999983</c:v>
                </c:pt>
                <c:pt idx="201" formatCode="_(* #,##0.00_);_(* \(#,##0.00\);_(* &quot;-&quot;??_);_(@_)">
                  <c:v>0.97649999999999859</c:v>
                </c:pt>
                <c:pt idx="202" formatCode="_(* #,##0.00_);_(* \(#,##0.00\);_(* &quot;-&quot;??_);_(@_)">
                  <c:v>0.96349999999999836</c:v>
                </c:pt>
                <c:pt idx="203" formatCode="_(* #,##0.00_);_(* \(#,##0.00\);_(* &quot;-&quot;??_);_(@_)">
                  <c:v>0.94149999999999845</c:v>
                </c:pt>
                <c:pt idx="204" formatCode="_(* #,##0.00_);_(* \(#,##0.00\);_(* &quot;-&quot;??_);_(@_)">
                  <c:v>0.92149999999999888</c:v>
                </c:pt>
                <c:pt idx="205" formatCode="_(* #,##0.00_);_(* \(#,##0.00\);_(* &quot;-&quot;??_);_(@_)">
                  <c:v>0.78599999999999925</c:v>
                </c:pt>
                <c:pt idx="206" formatCode="_(* #,##0.00_);_(* \(#,##0.00\);_(* &quot;-&quot;??_);_(@_)">
                  <c:v>0.80599999999999949</c:v>
                </c:pt>
                <c:pt idx="207" formatCode="_(* #,##0.00_);_(* \(#,##0.00\);_(* &quot;-&quot;??_);_(@_)">
                  <c:v>0.82149999999999967</c:v>
                </c:pt>
                <c:pt idx="208" formatCode="_(* #,##0.00_);_(* \(#,##0.00\);_(* &quot;-&quot;??_);_(@_)">
                  <c:v>0.78599999999999925</c:v>
                </c:pt>
                <c:pt idx="209" formatCode="_(* #,##0.00_);_(* \(#,##0.00\);_(* &quot;-&quot;??_);_(@_)">
                  <c:v>0.77999999999999903</c:v>
                </c:pt>
                <c:pt idx="210" formatCode="_(* #,##0.00_);_(* \(#,##0.00\);_(* &quot;-&quot;??_);_(@_)">
                  <c:v>0.83099999999999885</c:v>
                </c:pt>
                <c:pt idx="211" formatCode="_(* #,##0.00_);_(* \(#,##0.00\);_(* &quot;-&quot;??_);_(@_)">
                  <c:v>0.94649999999999823</c:v>
                </c:pt>
                <c:pt idx="212" formatCode="_(* #,##0.00_);_(* \(#,##0.00\);_(* &quot;-&quot;??_);_(@_)">
                  <c:v>1.0104999999999982</c:v>
                </c:pt>
                <c:pt idx="213" formatCode="_(* #,##0.00_);_(* \(#,##0.00\);_(* &quot;-&quot;??_);_(@_)">
                  <c:v>0.97399999999999809</c:v>
                </c:pt>
                <c:pt idx="214" formatCode="_(* #,##0.00_);_(* \(#,##0.00\);_(* &quot;-&quot;??_);_(@_)">
                  <c:v>0.93899999999999795</c:v>
                </c:pt>
                <c:pt idx="215" formatCode="_(* #,##0.00_);_(* \(#,##0.00\);_(* &quot;-&quot;??_);_(@_)">
                  <c:v>0.91149999999999809</c:v>
                </c:pt>
                <c:pt idx="216" formatCode="_(* #,##0.00_);_(* \(#,##0.00\);_(* &quot;-&quot;??_);_(@_)">
                  <c:v>0.90649999999999831</c:v>
                </c:pt>
                <c:pt idx="217" formatCode="_(* #,##0.00_);_(* \(#,##0.00\);_(* &quot;-&quot;??_);_(@_)">
                  <c:v>0.87649999999999861</c:v>
                </c:pt>
                <c:pt idx="218" formatCode="_(* #,##0.00_);_(* \(#,##0.00\);_(* &quot;-&quot;??_);_(@_)">
                  <c:v>0.8109999999999985</c:v>
                </c:pt>
                <c:pt idx="219" formatCode="_(* #,##0.00_);_(* \(#,##0.00\);_(* &quot;-&quot;??_);_(@_)">
                  <c:v>0.7659999999999989</c:v>
                </c:pt>
                <c:pt idx="220" formatCode="_(* #,##0.00_);_(* \(#,##0.00\);_(* &quot;-&quot;??_);_(@_)">
                  <c:v>0.76099999999999857</c:v>
                </c:pt>
                <c:pt idx="221" formatCode="_(* #,##0.00_);_(* \(#,##0.00\);_(* &quot;-&quot;??_);_(@_)">
                  <c:v>0.72349999999999848</c:v>
                </c:pt>
                <c:pt idx="222" formatCode="_(* #,##0.00_);_(* \(#,##0.00\);_(* &quot;-&quot;??_);_(@_)">
                  <c:v>0.68399999999999894</c:v>
                </c:pt>
                <c:pt idx="223" formatCode="_(* #,##0.00_);_(* \(#,##0.00\);_(* &quot;-&quot;??_);_(@_)">
                  <c:v>0.65399999999999925</c:v>
                </c:pt>
                <c:pt idx="224" formatCode="_(* #,##0.00_);_(* \(#,##0.00\);_(* &quot;-&quot;??_);_(@_)">
                  <c:v>0.64149999999999918</c:v>
                </c:pt>
                <c:pt idx="225" formatCode="_(* #,##0.00_);_(* \(#,##0.00\);_(* &quot;-&quot;??_);_(@_)">
                  <c:v>0.57749999999999913</c:v>
                </c:pt>
                <c:pt idx="226" formatCode="_(* #,##0.00_);_(* \(#,##0.00\);_(* &quot;-&quot;??_);_(@_)">
                  <c:v>0.52749999999999919</c:v>
                </c:pt>
                <c:pt idx="227" formatCode="_(* #,##0.00_);_(* \(#,##0.00\);_(* &quot;-&quot;??_);_(@_)">
                  <c:v>0.47249999999999942</c:v>
                </c:pt>
                <c:pt idx="228" formatCode="_(* #,##0.00_);_(* \(#,##0.00\);_(* &quot;-&quot;??_);_(@_)">
                  <c:v>0.37299999999999967</c:v>
                </c:pt>
                <c:pt idx="229" formatCode="_(* #,##0.00_);_(* \(#,##0.00\);_(* &quot;-&quot;??_);_(@_)">
                  <c:v>0.32999999999999974</c:v>
                </c:pt>
                <c:pt idx="230" formatCode="_(* #,##0.00_);_(* \(#,##0.00\);_(* &quot;-&quot;??_);_(@_)">
                  <c:v>0.2299999999999997</c:v>
                </c:pt>
                <c:pt idx="231" formatCode="_(* #,##0.00_);_(* \(#,##0.00\);_(* &quot;-&quot;??_);_(@_)">
                  <c:v>6.5500000000000114E-2</c:v>
                </c:pt>
                <c:pt idx="232" formatCode="_(* #,##0.00_);_(* \(#,##0.00\);_(* &quot;-&quot;??_);_(@_)">
                  <c:v>0</c:v>
                </c:pt>
                <c:pt idx="233" formatCode="_(* #,##0.00_);_(* \(#,##0.00\);_(* &quot;-&quot;??_);_(@_)">
                  <c:v>0</c:v>
                </c:pt>
                <c:pt idx="234" formatCode="_(* #,##0.00_);_(* \(#,##0.00\);_(* &quot;-&quot;??_);_(@_)">
                  <c:v>0</c:v>
                </c:pt>
                <c:pt idx="235" formatCode="_(* #,##0.00_);_(* \(#,##0.00\);_(* &quot;-&quot;??_);_(@_)">
                  <c:v>0</c:v>
                </c:pt>
                <c:pt idx="236" formatCode="_(* #,##0.00_);_(* \(#,##0.00\);_(* &quot;-&quot;??_);_(@_)">
                  <c:v>0</c:v>
                </c:pt>
                <c:pt idx="237" formatCode="_(* #,##0.00_);_(* \(#,##0.00\);_(* &quot;-&quot;??_);_(@_)">
                  <c:v>0</c:v>
                </c:pt>
                <c:pt idx="238" formatCode="_(* #,##0.00_);_(* \(#,##0.00\);_(* &quot;-&quot;??_);_(@_)">
                  <c:v>0</c:v>
                </c:pt>
                <c:pt idx="239" formatCode="_(* #,##0.00_);_(* \(#,##0.00\);_(* &quot;-&quot;??_);_(@_)">
                  <c:v>0</c:v>
                </c:pt>
                <c:pt idx="240" formatCode="_(* #,##0.00_);_(* \(#,##0.00\);_(* &quot;-&quot;??_);_(@_)">
                  <c:v>0</c:v>
                </c:pt>
                <c:pt idx="241" formatCode="_(* #,##0.00_);_(* \(#,##0.00\);_(* &quot;-&quot;??_);_(@_)">
                  <c:v>0</c:v>
                </c:pt>
                <c:pt idx="242" formatCode="_(* #,##0.00_);_(* \(#,##0.00\);_(* &quot;-&quot;??_);_(@_)">
                  <c:v>0</c:v>
                </c:pt>
                <c:pt idx="243" formatCode="_(* #,##0.00_);_(* \(#,##0.00\);_(* &quot;-&quot;??_);_(@_)">
                  <c:v>0</c:v>
                </c:pt>
                <c:pt idx="244" formatCode="_(* #,##0.00_);_(* \(#,##0.00\);_(* &quot;-&quot;??_);_(@_)">
                  <c:v>0</c:v>
                </c:pt>
                <c:pt idx="245" formatCode="_(* #,##0.00_);_(* \(#,##0.00\);_(* &quot;-&quot;??_);_(@_)">
                  <c:v>0</c:v>
                </c:pt>
                <c:pt idx="246" formatCode="_(* #,##0.00_);_(* \(#,##0.00\);_(* &quot;-&quot;??_);_(@_)">
                  <c:v>0</c:v>
                </c:pt>
                <c:pt idx="247" formatCode="_(* #,##0.00_);_(* \(#,##0.00\);_(* &quot;-&quot;??_);_(@_)">
                  <c:v>0</c:v>
                </c:pt>
                <c:pt idx="248" formatCode="_(* #,##0.00_);_(* \(#,##0.00\);_(* &quot;-&quot;??_);_(@_)">
                  <c:v>0</c:v>
                </c:pt>
                <c:pt idx="249" formatCode="_(* #,##0.00_);_(* \(#,##0.00\);_(* &quot;-&quot;??_);_(@_)">
                  <c:v>0</c:v>
                </c:pt>
                <c:pt idx="250" formatCode="_(* #,##0.00_);_(* \(#,##0.00\);_(* &quot;-&quot;??_);_(@_)">
                  <c:v>0</c:v>
                </c:pt>
                <c:pt idx="251" formatCode="_(* #,##0.00_);_(* \(#,##0.00\);_(* &quot;-&quot;??_);_(@_)">
                  <c:v>0</c:v>
                </c:pt>
                <c:pt idx="252" formatCode="_(* #,##0.00_);_(* \(#,##0.00\);_(* &quot;-&quot;??_);_(@_)">
                  <c:v>0</c:v>
                </c:pt>
                <c:pt idx="253" formatCode="_(* #,##0.00_);_(* \(#,##0.00\);_(* &quot;-&quot;??_);_(@_)">
                  <c:v>0</c:v>
                </c:pt>
                <c:pt idx="254" formatCode="_(* #,##0.00_);_(* \(#,##0.00\);_(* &quot;-&quot;??_);_(@_)">
                  <c:v>0</c:v>
                </c:pt>
                <c:pt idx="255" formatCode="_(* #,##0.00_);_(* \(#,##0.00\);_(* &quot;-&quot;??_);_(@_)">
                  <c:v>0</c:v>
                </c:pt>
                <c:pt idx="256" formatCode="_(* #,##0.00_);_(* \(#,##0.00\);_(* &quot;-&quot;??_);_(@_)">
                  <c:v>0</c:v>
                </c:pt>
                <c:pt idx="257" formatCode="_(* #,##0.00_);_(* \(#,##0.00\);_(* &quot;-&quot;??_);_(@_)">
                  <c:v>0</c:v>
                </c:pt>
                <c:pt idx="258" formatCode="_(* #,##0.00_);_(* \(#,##0.00\);_(* &quot;-&quot;??_);_(@_)">
                  <c:v>0</c:v>
                </c:pt>
                <c:pt idx="259" formatCode="_(* #,##0.00_);_(* \(#,##0.00\);_(* &quot;-&quot;??_);_(@_)">
                  <c:v>0</c:v>
                </c:pt>
                <c:pt idx="260" formatCode="_(* #,##0.00_);_(* \(#,##0.00\);_(* &quot;-&quot;??_);_(@_)">
                  <c:v>0</c:v>
                </c:pt>
                <c:pt idx="261" formatCode="_(* #,##0.00_);_(* \(#,##0.00\);_(* &quot;-&quot;??_);_(@_)">
                  <c:v>0</c:v>
                </c:pt>
                <c:pt idx="262" formatCode="_(* #,##0.00_);_(* \(#,##0.00\);_(* &quot;-&quot;??_);_(@_)">
                  <c:v>0</c:v>
                </c:pt>
                <c:pt idx="263" formatCode="_(* #,##0.00_);_(* \(#,##0.00\);_(* &quot;-&quot;??_);_(@_)">
                  <c:v>0</c:v>
                </c:pt>
                <c:pt idx="264" formatCode="_(* #,##0.00_);_(* \(#,##0.00\);_(* &quot;-&quot;??_);_(@_)">
                  <c:v>0</c:v>
                </c:pt>
                <c:pt idx="265" formatCode="_(* #,##0.00_);_(* \(#,##0.00\);_(* &quot;-&quot;??_);_(@_)">
                  <c:v>0</c:v>
                </c:pt>
                <c:pt idx="266" formatCode="_(* #,##0.00_);_(* \(#,##0.00\);_(* &quot;-&quot;??_);_(@_)">
                  <c:v>0</c:v>
                </c:pt>
                <c:pt idx="267" formatCode="_(* #,##0.00_);_(* \(#,##0.00\);_(* &quot;-&quot;??_);_(@_)">
                  <c:v>0</c:v>
                </c:pt>
                <c:pt idx="268" formatCode="_(* #,##0.00_);_(* \(#,##0.00\);_(* &quot;-&quot;??_);_(@_)">
                  <c:v>0</c:v>
                </c:pt>
                <c:pt idx="269" formatCode="_(* #,##0.00_);_(* \(#,##0.00\);_(* &quot;-&quot;??_);_(@_)">
                  <c:v>0</c:v>
                </c:pt>
                <c:pt idx="270" formatCode="_(* #,##0.00_);_(* \(#,##0.00\);_(* &quot;-&quot;??_);_(@_)">
                  <c:v>0</c:v>
                </c:pt>
                <c:pt idx="271" formatCode="_(* #,##0.00_);_(* \(#,##0.00\);_(* &quot;-&quot;??_);_(@_)">
                  <c:v>0</c:v>
                </c:pt>
                <c:pt idx="272" formatCode="_(* #,##0.00_);_(* \(#,##0.00\);_(* &quot;-&quot;??_);_(@_)">
                  <c:v>0</c:v>
                </c:pt>
                <c:pt idx="273" formatCode="_(* #,##0.00_);_(* \(#,##0.00\);_(* &quot;-&quot;??_);_(@_)">
                  <c:v>0</c:v>
                </c:pt>
                <c:pt idx="274" formatCode="_(* #,##0.00_);_(* \(#,##0.00\);_(* &quot;-&quot;??_);_(@_)">
                  <c:v>0</c:v>
                </c:pt>
                <c:pt idx="275" formatCode="_(* #,##0.00_);_(* \(#,##0.00\);_(* &quot;-&quot;??_);_(@_)">
                  <c:v>0</c:v>
                </c:pt>
                <c:pt idx="276" formatCode="_(* #,##0.00_);_(* \(#,##0.00\);_(* &quot;-&quot;??_);_(@_)">
                  <c:v>0</c:v>
                </c:pt>
                <c:pt idx="277" formatCode="_(* #,##0.00_);_(* \(#,##0.00\);_(* &quot;-&quot;??_);_(@_)">
                  <c:v>0</c:v>
                </c:pt>
                <c:pt idx="278" formatCode="_(* #,##0.00_);_(* \(#,##0.00\);_(* &quot;-&quot;??_);_(@_)">
                  <c:v>0</c:v>
                </c:pt>
                <c:pt idx="279" formatCode="_(* #,##0.00_);_(* \(#,##0.00\);_(* &quot;-&quot;??_);_(@_)">
                  <c:v>0</c:v>
                </c:pt>
                <c:pt idx="280" formatCode="_(* #,##0.00_);_(* \(#,##0.00\);_(* &quot;-&quot;??_);_(@_)">
                  <c:v>0</c:v>
                </c:pt>
                <c:pt idx="281" formatCode="_(* #,##0.00_);_(* \(#,##0.00\);_(* &quot;-&quot;??_);_(@_)">
                  <c:v>0</c:v>
                </c:pt>
                <c:pt idx="282" formatCode="_(* #,##0.00_);_(* \(#,##0.00\);_(* &quot;-&quot;??_);_(@_)">
                  <c:v>0</c:v>
                </c:pt>
                <c:pt idx="283" formatCode="_(* #,##0.00_);_(* \(#,##0.00\);_(* &quot;-&quot;??_);_(@_)">
                  <c:v>0</c:v>
                </c:pt>
                <c:pt idx="284" formatCode="_(* #,##0.00_);_(* \(#,##0.00\);_(* &quot;-&quot;??_);_(@_)">
                  <c:v>0</c:v>
                </c:pt>
                <c:pt idx="285" formatCode="_(* #,##0.00_);_(* \(#,##0.00\);_(* &quot;-&quot;??_);_(@_)">
                  <c:v>0</c:v>
                </c:pt>
                <c:pt idx="286" formatCode="_(* #,##0.00_);_(* \(#,##0.00\);_(* &quot;-&quot;??_);_(@_)">
                  <c:v>0</c:v>
                </c:pt>
                <c:pt idx="287" formatCode="_(* #,##0.00_);_(* \(#,##0.00\);_(* &quot;-&quot;??_);_(@_)">
                  <c:v>0</c:v>
                </c:pt>
                <c:pt idx="288" formatCode="_(* #,##0.00_);_(* \(#,##0.00\);_(* &quot;-&quot;??_);_(@_)">
                  <c:v>0</c:v>
                </c:pt>
                <c:pt idx="289" formatCode="_(* #,##0.00_);_(* \(#,##0.00\);_(* &quot;-&quot;??_);_(@_)">
                  <c:v>0</c:v>
                </c:pt>
                <c:pt idx="290" formatCode="_(* #,##0.00_);_(* \(#,##0.00\);_(* &quot;-&quot;??_);_(@_)">
                  <c:v>0</c:v>
                </c:pt>
                <c:pt idx="291" formatCode="_(* #,##0.00_);_(* \(#,##0.00\);_(* &quot;-&quot;??_);_(@_)">
                  <c:v>0</c:v>
                </c:pt>
                <c:pt idx="292" formatCode="_(* #,##0.00_);_(* \(#,##0.00\);_(* &quot;-&quot;??_);_(@_)">
                  <c:v>0</c:v>
                </c:pt>
                <c:pt idx="293" formatCode="_(* #,##0.00_);_(* \(#,##0.00\);_(* &quot;-&quot;??_);_(@_)">
                  <c:v>0</c:v>
                </c:pt>
                <c:pt idx="294" formatCode="_(* #,##0.00_);_(* \(#,##0.00\);_(* &quot;-&quot;??_);_(@_)">
                  <c:v>0</c:v>
                </c:pt>
                <c:pt idx="295" formatCode="_(* #,##0.00_);_(* \(#,##0.00\);_(* &quot;-&quot;??_);_(@_)">
                  <c:v>0</c:v>
                </c:pt>
                <c:pt idx="296" formatCode="_(* #,##0.00_);_(* \(#,##0.00\);_(* &quot;-&quot;??_);_(@_)">
                  <c:v>0</c:v>
                </c:pt>
                <c:pt idx="297" formatCode="_(* #,##0.00_);_(* \(#,##0.00\);_(* &quot;-&quot;??_);_(@_)">
                  <c:v>0</c:v>
                </c:pt>
                <c:pt idx="298" formatCode="_(* #,##0.00_);_(* \(#,##0.00\);_(* &quot;-&quot;??_);_(@_)">
                  <c:v>0</c:v>
                </c:pt>
                <c:pt idx="299" formatCode="_(* #,##0.00_);_(* \(#,##0.00\);_(* &quot;-&quot;??_);_(@_)">
                  <c:v>0</c:v>
                </c:pt>
                <c:pt idx="300" formatCode="_(* #,##0.00_);_(* \(#,##0.00\);_(* &quot;-&quot;??_);_(@_)">
                  <c:v>0</c:v>
                </c:pt>
                <c:pt idx="301" formatCode="_(* #,##0.00_);_(* \(#,##0.00\);_(* &quot;-&quot;??_);_(@_)">
                  <c:v>0</c:v>
                </c:pt>
                <c:pt idx="302" formatCode="_(* #,##0.00_);_(* \(#,##0.00\);_(* &quot;-&quot;??_);_(@_)">
                  <c:v>0</c:v>
                </c:pt>
                <c:pt idx="303" formatCode="_(* #,##0.00_);_(* \(#,##0.00\);_(* &quot;-&quot;??_);_(@_)">
                  <c:v>0</c:v>
                </c:pt>
                <c:pt idx="304" formatCode="_(* #,##0.00_);_(* \(#,##0.00\);_(* &quot;-&quot;??_);_(@_)">
                  <c:v>0</c:v>
                </c:pt>
                <c:pt idx="305" formatCode="_(* #,##0.00_);_(* \(#,##0.00\);_(* &quot;-&quot;??_);_(@_)">
                  <c:v>0</c:v>
                </c:pt>
                <c:pt idx="306" formatCode="_(* #,##0.00_);_(* \(#,##0.00\);_(* &quot;-&quot;??_);_(@_)">
                  <c:v>0</c:v>
                </c:pt>
                <c:pt idx="307" formatCode="_(* #,##0.00_);_(* \(#,##0.00\);_(* &quot;-&quot;??_);_(@_)">
                  <c:v>0</c:v>
                </c:pt>
                <c:pt idx="308" formatCode="_(* #,##0.00_);_(* \(#,##0.00\);_(* &quot;-&quot;??_);_(@_)">
                  <c:v>0</c:v>
                </c:pt>
                <c:pt idx="309" formatCode="_(* #,##0.00_);_(* \(#,##0.00\);_(* &quot;-&quot;??_);_(@_)">
                  <c:v>0</c:v>
                </c:pt>
                <c:pt idx="310" formatCode="_(* #,##0.00_);_(* \(#,##0.00\);_(* &quot;-&quot;??_);_(@_)">
                  <c:v>0</c:v>
                </c:pt>
                <c:pt idx="311" formatCode="_(* #,##0.00_);_(* \(#,##0.00\);_(* &quot;-&quot;??_);_(@_)">
                  <c:v>0</c:v>
                </c:pt>
                <c:pt idx="312" formatCode="_(* #,##0.00_);_(* \(#,##0.00\);_(* &quot;-&quot;??_);_(@_)">
                  <c:v>0</c:v>
                </c:pt>
                <c:pt idx="313" formatCode="_(* #,##0.00_);_(* \(#,##0.00\);_(* &quot;-&quot;??_);_(@_)">
                  <c:v>0</c:v>
                </c:pt>
                <c:pt idx="314" formatCode="_(* #,##0.00_);_(* \(#,##0.00\);_(* &quot;-&quot;??_);_(@_)">
                  <c:v>0</c:v>
                </c:pt>
                <c:pt idx="315" formatCode="_(* #,##0.00_);_(* \(#,##0.00\);_(* &quot;-&quot;??_);_(@_)">
                  <c:v>0</c:v>
                </c:pt>
                <c:pt idx="316" formatCode="_(* #,##0.00_);_(* \(#,##0.00\);_(* &quot;-&quot;??_);_(@_)">
                  <c:v>0</c:v>
                </c:pt>
                <c:pt idx="317" formatCode="_(* #,##0.00_);_(* \(#,##0.00\);_(* &quot;-&quot;??_);_(@_)">
                  <c:v>0</c:v>
                </c:pt>
                <c:pt idx="318" formatCode="_(* #,##0.00_);_(* \(#,##0.00\);_(* &quot;-&quot;??_);_(@_)">
                  <c:v>0</c:v>
                </c:pt>
                <c:pt idx="319" formatCode="_(* #,##0.00_);_(* \(#,##0.00\);_(* &quot;-&quot;??_);_(@_)">
                  <c:v>0</c:v>
                </c:pt>
                <c:pt idx="320" formatCode="_(* #,##0.00_);_(* \(#,##0.00\);_(* &quot;-&quot;??_);_(@_)">
                  <c:v>0</c:v>
                </c:pt>
                <c:pt idx="321" formatCode="_(* #,##0.00_);_(* \(#,##0.00\);_(* &quot;-&quot;??_);_(@_)">
                  <c:v>0</c:v>
                </c:pt>
                <c:pt idx="322" formatCode="_(* #,##0.00_);_(* \(#,##0.00\);_(* &quot;-&quot;??_);_(@_)">
                  <c:v>0</c:v>
                </c:pt>
                <c:pt idx="323" formatCode="_(* #,##0.00_);_(* \(#,##0.00\);_(* &quot;-&quot;??_);_(@_)">
                  <c:v>0</c:v>
                </c:pt>
                <c:pt idx="324" formatCode="_(* #,##0.00_);_(* \(#,##0.00\);_(* &quot;-&quot;??_);_(@_)">
                  <c:v>0</c:v>
                </c:pt>
                <c:pt idx="325" formatCode="_(* #,##0.00_);_(* \(#,##0.00\);_(* &quot;-&quot;??_);_(@_)">
                  <c:v>0</c:v>
                </c:pt>
                <c:pt idx="326" formatCode="_(* #,##0.00_);_(* \(#,##0.00\);_(* &quot;-&quot;??_);_(@_)">
                  <c:v>0</c:v>
                </c:pt>
                <c:pt idx="327" formatCode="_(* #,##0.00_);_(* \(#,##0.00\);_(* &quot;-&quot;??_);_(@_)">
                  <c:v>0</c:v>
                </c:pt>
                <c:pt idx="328" formatCode="_(* #,##0.00_);_(* \(#,##0.00\);_(* &quot;-&quot;??_);_(@_)">
                  <c:v>0</c:v>
                </c:pt>
                <c:pt idx="329" formatCode="_(* #,##0.00_);_(* \(#,##0.00\);_(* &quot;-&quot;??_);_(@_)">
                  <c:v>0</c:v>
                </c:pt>
                <c:pt idx="330" formatCode="_(* #,##0.00_);_(* \(#,##0.00\);_(* &quot;-&quot;??_);_(@_)">
                  <c:v>0</c:v>
                </c:pt>
                <c:pt idx="331" formatCode="_(* #,##0.00_);_(* \(#,##0.00\);_(* &quot;-&quot;??_);_(@_)">
                  <c:v>0</c:v>
                </c:pt>
                <c:pt idx="332" formatCode="_(* #,##0.00_);_(* \(#,##0.00\);_(* &quot;-&quot;??_);_(@_)">
                  <c:v>0</c:v>
                </c:pt>
                <c:pt idx="333" formatCode="_(* #,##0.00_);_(* \(#,##0.00\);_(* &quot;-&quot;??_);_(@_)">
                  <c:v>0</c:v>
                </c:pt>
                <c:pt idx="334" formatCode="_(* #,##0.00_);_(* \(#,##0.00\);_(* &quot;-&quot;??_);_(@_)">
                  <c:v>0</c:v>
                </c:pt>
                <c:pt idx="335" formatCode="_(* #,##0.00_);_(* \(#,##0.00\);_(* &quot;-&quot;??_);_(@_)">
                  <c:v>0</c:v>
                </c:pt>
                <c:pt idx="336" formatCode="_(* #,##0.00_);_(* \(#,##0.00\);_(* &quot;-&quot;??_);_(@_)">
                  <c:v>0</c:v>
                </c:pt>
                <c:pt idx="337" formatCode="_(* #,##0.00_);_(* \(#,##0.00\);_(* &quot;-&quot;??_);_(@_)">
                  <c:v>0</c:v>
                </c:pt>
                <c:pt idx="338" formatCode="_(* #,##0.00_);_(* \(#,##0.00\);_(* &quot;-&quot;??_);_(@_)">
                  <c:v>0</c:v>
                </c:pt>
                <c:pt idx="339" formatCode="_(* #,##0.00_);_(* \(#,##0.00\);_(* &quot;-&quot;??_);_(@_)">
                  <c:v>0</c:v>
                </c:pt>
                <c:pt idx="340" formatCode="_(* #,##0.00_);_(* \(#,##0.00\);_(* &quot;-&quot;??_);_(@_)">
                  <c:v>0</c:v>
                </c:pt>
                <c:pt idx="341" formatCode="_(* #,##0.00_);_(* \(#,##0.00\);_(* &quot;-&quot;??_);_(@_)">
                  <c:v>0</c:v>
                </c:pt>
                <c:pt idx="342" formatCode="_(* #,##0.00_);_(* \(#,##0.00\);_(* &quot;-&quot;??_);_(@_)">
                  <c:v>0</c:v>
                </c:pt>
                <c:pt idx="343" formatCode="_(* #,##0.00_);_(* \(#,##0.00\);_(* &quot;-&quot;??_);_(@_)">
                  <c:v>0</c:v>
                </c:pt>
                <c:pt idx="344" formatCode="_(* #,##0.00_);_(* \(#,##0.00\);_(* &quot;-&quot;??_);_(@_)">
                  <c:v>0</c:v>
                </c:pt>
                <c:pt idx="345" formatCode="_(* #,##0.00_);_(* \(#,##0.00\);_(* &quot;-&quot;??_);_(@_)">
                  <c:v>0</c:v>
                </c:pt>
                <c:pt idx="346" formatCode="_(* #,##0.00_);_(* \(#,##0.00\);_(* &quot;-&quot;??_);_(@_)">
                  <c:v>0</c:v>
                </c:pt>
                <c:pt idx="347" formatCode="_(* #,##0.00_);_(* \(#,##0.00\);_(* &quot;-&quot;??_);_(@_)">
                  <c:v>0</c:v>
                </c:pt>
                <c:pt idx="348" formatCode="_(* #,##0.00_);_(* \(#,##0.00\);_(* &quot;-&quot;??_);_(@_)">
                  <c:v>0</c:v>
                </c:pt>
                <c:pt idx="349" formatCode="_(* #,##0.00_);_(* \(#,##0.00\);_(* &quot;-&quot;??_);_(@_)">
                  <c:v>0</c:v>
                </c:pt>
                <c:pt idx="350" formatCode="_(* #,##0.00_);_(* \(#,##0.00\);_(* &quot;-&quot;??_);_(@_)">
                  <c:v>0</c:v>
                </c:pt>
                <c:pt idx="351" formatCode="_(* #,##0.00_);_(* \(#,##0.00\);_(* &quot;-&quot;??_);_(@_)">
                  <c:v>0</c:v>
                </c:pt>
                <c:pt idx="352" formatCode="_(* #,##0.00_);_(* \(#,##0.00\);_(* &quot;-&quot;??_);_(@_)">
                  <c:v>0</c:v>
                </c:pt>
                <c:pt idx="353" formatCode="_(* #,##0.00_);_(* \(#,##0.00\);_(* &quot;-&quot;??_);_(@_)">
                  <c:v>0</c:v>
                </c:pt>
                <c:pt idx="354" formatCode="_(* #,##0.00_);_(* \(#,##0.00\);_(* &quot;-&quot;??_);_(@_)">
                  <c:v>0</c:v>
                </c:pt>
                <c:pt idx="355" formatCode="_(* #,##0.00_);_(* \(#,##0.00\);_(* &quot;-&quot;??_);_(@_)">
                  <c:v>0</c:v>
                </c:pt>
                <c:pt idx="356" formatCode="_(* #,##0.00_);_(* \(#,##0.00\);_(* &quot;-&quot;??_);_(@_)">
                  <c:v>0</c:v>
                </c:pt>
                <c:pt idx="357" formatCode="_(* #,##0.00_);_(* \(#,##0.00\);_(* &quot;-&quot;??_);_(@_)">
                  <c:v>0</c:v>
                </c:pt>
                <c:pt idx="358" formatCode="_(* #,##0.00_);_(* \(#,##0.00\);_(* &quot;-&quot;??_);_(@_)">
                  <c:v>0</c:v>
                </c:pt>
                <c:pt idx="359" formatCode="_(* #,##0.00_);_(* \(#,##0.00\);_(* &quot;-&quot;??_);_(@_)">
                  <c:v>0</c:v>
                </c:pt>
                <c:pt idx="360" formatCode="_(* #,##0.00_);_(* \(#,##0.00\);_(* &quot;-&quot;??_);_(@_)">
                  <c:v>0</c:v>
                </c:pt>
                <c:pt idx="361" formatCode="_(* #,##0.00_);_(* \(#,##0.00\);_(* &quot;-&quot;??_);_(@_)">
                  <c:v>0</c:v>
                </c:pt>
                <c:pt idx="362" formatCode="_(* #,##0.00_);_(* \(#,##0.00\);_(* &quot;-&quot;??_);_(@_)">
                  <c:v>0</c:v>
                </c:pt>
                <c:pt idx="363" formatCode="_(* #,##0.00_);_(* \(#,##0.00\);_(* &quot;-&quot;??_);_(@_)">
                  <c:v>0</c:v>
                </c:pt>
                <c:pt idx="364" formatCode="_(* #,##0.00_);_(* \(#,##0.00\);_(* &quot;-&quot;??_);_(@_)">
                  <c:v>0</c:v>
                </c:pt>
                <c:pt idx="365" formatCode="_(* #,##0.00_);_(* \(#,##0.00\);_(* &quot;-&quot;??_);_(@_)">
                  <c:v>0</c:v>
                </c:pt>
                <c:pt idx="366" formatCode="_(* #,##0.00_);_(* \(#,##0.00\);_(* &quot;-&quot;??_);_(@_)">
                  <c:v>0</c:v>
                </c:pt>
                <c:pt idx="367" formatCode="_(* #,##0.00_);_(* \(#,##0.00\);_(* &quot;-&quot;??_);_(@_)">
                  <c:v>0</c:v>
                </c:pt>
                <c:pt idx="368" formatCode="_(* #,##0.00_);_(* \(#,##0.00\);_(* &quot;-&quot;??_);_(@_)">
                  <c:v>0</c:v>
                </c:pt>
                <c:pt idx="369" formatCode="_(* #,##0.00_);_(* \(#,##0.00\);_(* &quot;-&quot;??_);_(@_)">
                  <c:v>0</c:v>
                </c:pt>
                <c:pt idx="370" formatCode="_(* #,##0.00_);_(* \(#,##0.00\);_(* &quot;-&quot;??_);_(@_)">
                  <c:v>0</c:v>
                </c:pt>
                <c:pt idx="371" formatCode="_(* #,##0.00_);_(* \(#,##0.00\);_(* &quot;-&quot;??_);_(@_)">
                  <c:v>0</c:v>
                </c:pt>
                <c:pt idx="372" formatCode="_(* #,##0.00_);_(* \(#,##0.00\);_(* &quot;-&quot;??_);_(@_)">
                  <c:v>0</c:v>
                </c:pt>
                <c:pt idx="373" formatCode="_(* #,##0.00_);_(* \(#,##0.00\);_(* &quot;-&quot;??_);_(@_)">
                  <c:v>0</c:v>
                </c:pt>
                <c:pt idx="374" formatCode="_(* #,##0.00_);_(* \(#,##0.00\);_(* &quot;-&quot;??_);_(@_)">
                  <c:v>0</c:v>
                </c:pt>
                <c:pt idx="375" formatCode="_(* #,##0.00_);_(* \(#,##0.00\);_(* &quot;-&quot;??_);_(@_)">
                  <c:v>0</c:v>
                </c:pt>
                <c:pt idx="376" formatCode="_(* #,##0.00_);_(* \(#,##0.00\);_(* &quot;-&quot;??_);_(@_)">
                  <c:v>0</c:v>
                </c:pt>
                <c:pt idx="377" formatCode="_(* #,##0.00_);_(* \(#,##0.00\);_(* &quot;-&quot;??_);_(@_)">
                  <c:v>0</c:v>
                </c:pt>
                <c:pt idx="378" formatCode="_(* #,##0.00_);_(* \(#,##0.00\);_(* &quot;-&quot;??_);_(@_)">
                  <c:v>0</c:v>
                </c:pt>
                <c:pt idx="379" formatCode="_(* #,##0.00_);_(* \(#,##0.00\);_(* &quot;-&quot;??_);_(@_)">
                  <c:v>0</c:v>
                </c:pt>
                <c:pt idx="380" formatCode="_(* #,##0.00_);_(* \(#,##0.00\);_(* &quot;-&quot;??_);_(@_)">
                  <c:v>0</c:v>
                </c:pt>
                <c:pt idx="381" formatCode="_(* #,##0.00_);_(* \(#,##0.00\);_(* &quot;-&quot;??_);_(@_)">
                  <c:v>0</c:v>
                </c:pt>
                <c:pt idx="382" formatCode="_(* #,##0.00_);_(* \(#,##0.00\);_(* &quot;-&quot;??_);_(@_)">
                  <c:v>0</c:v>
                </c:pt>
                <c:pt idx="383" formatCode="_(* #,##0.00_);_(* \(#,##0.00\);_(* &quot;-&quot;??_);_(@_)">
                  <c:v>0</c:v>
                </c:pt>
                <c:pt idx="384" formatCode="_(* #,##0.00_);_(* \(#,##0.00\);_(* &quot;-&quot;??_);_(@_)">
                  <c:v>0</c:v>
                </c:pt>
                <c:pt idx="385" formatCode="_(* #,##0.00_);_(* \(#,##0.00\);_(* &quot;-&quot;??_);_(@_)">
                  <c:v>0</c:v>
                </c:pt>
                <c:pt idx="386" formatCode="_(* #,##0.00_);_(* \(#,##0.00\);_(* &quot;-&quot;??_);_(@_)">
                  <c:v>0</c:v>
                </c:pt>
                <c:pt idx="387" formatCode="_(* #,##0.00_);_(* \(#,##0.00\);_(* &quot;-&quot;??_);_(@_)">
                  <c:v>0</c:v>
                </c:pt>
                <c:pt idx="388" formatCode="_(* #,##0.00_);_(* \(#,##0.00\);_(* &quot;-&quot;??_);_(@_)">
                  <c:v>0</c:v>
                </c:pt>
                <c:pt idx="389" formatCode="_(* #,##0.00_);_(* \(#,##0.00\);_(* &quot;-&quot;??_);_(@_)">
                  <c:v>0</c:v>
                </c:pt>
                <c:pt idx="390" formatCode="_(* #,##0.00_);_(* \(#,##0.00\);_(* &quot;-&quot;??_);_(@_)">
                  <c:v>0</c:v>
                </c:pt>
                <c:pt idx="391" formatCode="_(* #,##0.00_);_(* \(#,##0.00\);_(* &quot;-&quot;??_);_(@_)">
                  <c:v>0</c:v>
                </c:pt>
                <c:pt idx="392" formatCode="_(* #,##0.00_);_(* \(#,##0.00\);_(* &quot;-&quot;??_);_(@_)">
                  <c:v>0</c:v>
                </c:pt>
                <c:pt idx="393" formatCode="_(* #,##0.00_);_(* \(#,##0.00\);_(* &quot;-&quot;??_);_(@_)">
                  <c:v>0</c:v>
                </c:pt>
                <c:pt idx="394" formatCode="_(* #,##0.00_);_(* \(#,##0.00\);_(* &quot;-&quot;??_);_(@_)">
                  <c:v>0</c:v>
                </c:pt>
                <c:pt idx="395" formatCode="_(* #,##0.00_);_(* \(#,##0.00\);_(* &quot;-&quot;??_);_(@_)">
                  <c:v>0</c:v>
                </c:pt>
                <c:pt idx="396" formatCode="_(* #,##0.00_);_(* \(#,##0.00\);_(* &quot;-&quot;??_);_(@_)">
                  <c:v>0</c:v>
                </c:pt>
                <c:pt idx="397" formatCode="_(* #,##0.00_);_(* \(#,##0.00\);_(* &quot;-&quot;??_);_(@_)">
                  <c:v>0</c:v>
                </c:pt>
                <c:pt idx="398" formatCode="_(* #,##0.00_);_(* \(#,##0.00\);_(* &quot;-&quot;??_);_(@_)">
                  <c:v>0</c:v>
                </c:pt>
                <c:pt idx="399" formatCode="_(* #,##0.00_);_(* \(#,##0.00\);_(* &quot;-&quot;??_);_(@_)">
                  <c:v>0</c:v>
                </c:pt>
                <c:pt idx="400" formatCode="_(* #,##0.00_);_(* \(#,##0.00\);_(* &quot;-&quot;??_);_(@_)">
                  <c:v>0</c:v>
                </c:pt>
                <c:pt idx="401" formatCode="_(* #,##0.00_);_(* \(#,##0.00\);_(* &quot;-&quot;??_);_(@_)">
                  <c:v>0</c:v>
                </c:pt>
                <c:pt idx="402" formatCode="_(* #,##0.00_);_(* \(#,##0.00\);_(* &quot;-&quot;??_);_(@_)">
                  <c:v>0</c:v>
                </c:pt>
                <c:pt idx="403" formatCode="_(* #,##0.00_);_(* \(#,##0.00\);_(* &quot;-&quot;??_);_(@_)">
                  <c:v>0</c:v>
                </c:pt>
                <c:pt idx="404" formatCode="_(* #,##0.00_);_(* \(#,##0.00\);_(* &quot;-&quot;??_);_(@_)">
                  <c:v>0</c:v>
                </c:pt>
                <c:pt idx="405" formatCode="_(* #,##0.00_);_(* \(#,##0.00\);_(* &quot;-&quot;??_);_(@_)">
                  <c:v>0</c:v>
                </c:pt>
                <c:pt idx="406" formatCode="_(* #,##0.00_);_(* \(#,##0.00\);_(* &quot;-&quot;??_);_(@_)">
                  <c:v>0</c:v>
                </c:pt>
                <c:pt idx="407" formatCode="_(* #,##0.00_);_(* \(#,##0.00\);_(* &quot;-&quot;??_);_(@_)">
                  <c:v>0</c:v>
                </c:pt>
                <c:pt idx="408" formatCode="_(* #,##0.00_);_(* \(#,##0.00\);_(* &quot;-&quot;??_);_(@_)">
                  <c:v>0</c:v>
                </c:pt>
                <c:pt idx="409" formatCode="_(* #,##0.00_);_(* \(#,##0.00\);_(* &quot;-&quot;??_);_(@_)">
                  <c:v>0</c:v>
                </c:pt>
                <c:pt idx="410" formatCode="_(* #,##0.00_);_(* \(#,##0.00\);_(* &quot;-&quot;??_);_(@_)">
                  <c:v>0</c:v>
                </c:pt>
                <c:pt idx="411" formatCode="_(* #,##0.00_);_(* \(#,##0.00\);_(* &quot;-&quot;??_);_(@_)">
                  <c:v>0</c:v>
                </c:pt>
                <c:pt idx="412" formatCode="_(* #,##0.00_);_(* \(#,##0.00\);_(* &quot;-&quot;??_);_(@_)">
                  <c:v>0</c:v>
                </c:pt>
                <c:pt idx="413" formatCode="_(* #,##0.00_);_(* \(#,##0.00\);_(* &quot;-&quot;??_);_(@_)">
                  <c:v>0</c:v>
                </c:pt>
                <c:pt idx="414" formatCode="_(* #,##0.00_);_(* \(#,##0.00\);_(* &quot;-&quot;??_);_(@_)">
                  <c:v>0</c:v>
                </c:pt>
                <c:pt idx="415" formatCode="_(* #,##0.00_);_(* \(#,##0.00\);_(* &quot;-&quot;??_);_(@_)">
                  <c:v>0</c:v>
                </c:pt>
                <c:pt idx="416" formatCode="_(* #,##0.00_);_(* \(#,##0.00\);_(* &quot;-&quot;??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C0-42B0-9C4C-F2B929C03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716960"/>
        <c:axId val="781751824"/>
      </c:lineChart>
      <c:dateAx>
        <c:axId val="7377169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51824"/>
        <c:crosses val="autoZero"/>
        <c:auto val="1"/>
        <c:lblOffset val="100"/>
        <c:baseTimeUnit val="days"/>
      </c:dateAx>
      <c:valAx>
        <c:axId val="78175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71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'Tunisia Stocks'!$D$1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Stocks'!$D$2:$D$418</c:f>
              <c:numCache>
                <c:formatCode>General</c:formatCode>
                <c:ptCount val="417"/>
                <c:pt idx="0">
                  <c:v>93.9</c:v>
                </c:pt>
                <c:pt idx="1">
                  <c:v>93.89</c:v>
                </c:pt>
                <c:pt idx="2">
                  <c:v>93.7</c:v>
                </c:pt>
                <c:pt idx="3">
                  <c:v>93.65</c:v>
                </c:pt>
                <c:pt idx="4">
                  <c:v>93.7</c:v>
                </c:pt>
                <c:pt idx="5">
                  <c:v>94</c:v>
                </c:pt>
                <c:pt idx="6">
                  <c:v>93.99</c:v>
                </c:pt>
                <c:pt idx="7">
                  <c:v>94.49</c:v>
                </c:pt>
                <c:pt idx="8">
                  <c:v>95.9</c:v>
                </c:pt>
                <c:pt idx="9">
                  <c:v>97</c:v>
                </c:pt>
                <c:pt idx="10">
                  <c:v>97</c:v>
                </c:pt>
                <c:pt idx="11">
                  <c:v>96.85</c:v>
                </c:pt>
                <c:pt idx="12">
                  <c:v>96.5</c:v>
                </c:pt>
                <c:pt idx="13">
                  <c:v>97</c:v>
                </c:pt>
                <c:pt idx="14">
                  <c:v>97.2</c:v>
                </c:pt>
                <c:pt idx="15">
                  <c:v>98.45</c:v>
                </c:pt>
                <c:pt idx="16">
                  <c:v>99.5</c:v>
                </c:pt>
                <c:pt idx="17">
                  <c:v>98.9</c:v>
                </c:pt>
                <c:pt idx="18">
                  <c:v>98.15</c:v>
                </c:pt>
                <c:pt idx="19">
                  <c:v>97.8</c:v>
                </c:pt>
                <c:pt idx="20">
                  <c:v>97.8</c:v>
                </c:pt>
                <c:pt idx="21">
                  <c:v>97.5</c:v>
                </c:pt>
                <c:pt idx="22">
                  <c:v>97.5</c:v>
                </c:pt>
                <c:pt idx="23">
                  <c:v>96.98</c:v>
                </c:pt>
                <c:pt idx="24">
                  <c:v>96.95</c:v>
                </c:pt>
                <c:pt idx="25">
                  <c:v>96.95</c:v>
                </c:pt>
                <c:pt idx="26">
                  <c:v>96.99</c:v>
                </c:pt>
                <c:pt idx="27">
                  <c:v>97.5</c:v>
                </c:pt>
                <c:pt idx="28">
                  <c:v>97.48</c:v>
                </c:pt>
                <c:pt idx="29">
                  <c:v>97.4</c:v>
                </c:pt>
                <c:pt idx="30">
                  <c:v>97.4</c:v>
                </c:pt>
                <c:pt idx="31">
                  <c:v>98</c:v>
                </c:pt>
                <c:pt idx="32">
                  <c:v>97.7</c:v>
                </c:pt>
                <c:pt idx="33">
                  <c:v>98.5</c:v>
                </c:pt>
                <c:pt idx="34">
                  <c:v>98.99</c:v>
                </c:pt>
                <c:pt idx="35">
                  <c:v>98.9</c:v>
                </c:pt>
                <c:pt idx="36">
                  <c:v>99.9</c:v>
                </c:pt>
                <c:pt idx="37">
                  <c:v>99.5</c:v>
                </c:pt>
                <c:pt idx="38">
                  <c:v>99.4</c:v>
                </c:pt>
                <c:pt idx="39">
                  <c:v>99.35</c:v>
                </c:pt>
                <c:pt idx="40">
                  <c:v>99.9</c:v>
                </c:pt>
                <c:pt idx="41">
                  <c:v>100</c:v>
                </c:pt>
                <c:pt idx="42">
                  <c:v>101.8</c:v>
                </c:pt>
                <c:pt idx="43">
                  <c:v>103.5</c:v>
                </c:pt>
                <c:pt idx="44">
                  <c:v>103.5</c:v>
                </c:pt>
                <c:pt idx="45">
                  <c:v>103.49</c:v>
                </c:pt>
                <c:pt idx="46">
                  <c:v>102.7</c:v>
                </c:pt>
                <c:pt idx="47">
                  <c:v>100.99</c:v>
                </c:pt>
                <c:pt idx="48">
                  <c:v>100.99</c:v>
                </c:pt>
                <c:pt idx="49">
                  <c:v>102.8</c:v>
                </c:pt>
                <c:pt idx="50">
                  <c:v>102</c:v>
                </c:pt>
                <c:pt idx="51">
                  <c:v>101.5</c:v>
                </c:pt>
                <c:pt idx="52">
                  <c:v>100.6</c:v>
                </c:pt>
                <c:pt idx="53">
                  <c:v>100.6</c:v>
                </c:pt>
                <c:pt idx="54">
                  <c:v>100</c:v>
                </c:pt>
                <c:pt idx="55">
                  <c:v>99.72</c:v>
                </c:pt>
                <c:pt idx="56">
                  <c:v>99.7</c:v>
                </c:pt>
                <c:pt idx="57">
                  <c:v>99.6</c:v>
                </c:pt>
                <c:pt idx="58">
                  <c:v>98.9</c:v>
                </c:pt>
                <c:pt idx="59">
                  <c:v>98.9</c:v>
                </c:pt>
                <c:pt idx="60">
                  <c:v>99</c:v>
                </c:pt>
                <c:pt idx="61">
                  <c:v>99</c:v>
                </c:pt>
                <c:pt idx="62">
                  <c:v>98.98</c:v>
                </c:pt>
                <c:pt idx="63">
                  <c:v>98.99</c:v>
                </c:pt>
                <c:pt idx="64">
                  <c:v>98.85</c:v>
                </c:pt>
                <c:pt idx="65">
                  <c:v>98.6</c:v>
                </c:pt>
                <c:pt idx="66">
                  <c:v>98.8</c:v>
                </c:pt>
                <c:pt idx="67">
                  <c:v>98.99</c:v>
                </c:pt>
                <c:pt idx="68">
                  <c:v>99.2</c:v>
                </c:pt>
                <c:pt idx="69">
                  <c:v>100</c:v>
                </c:pt>
                <c:pt idx="70">
                  <c:v>100</c:v>
                </c:pt>
                <c:pt idx="71">
                  <c:v>102</c:v>
                </c:pt>
                <c:pt idx="72">
                  <c:v>101.99</c:v>
                </c:pt>
                <c:pt idx="73">
                  <c:v>102</c:v>
                </c:pt>
                <c:pt idx="74">
                  <c:v>102</c:v>
                </c:pt>
                <c:pt idx="75">
                  <c:v>103</c:v>
                </c:pt>
                <c:pt idx="76">
                  <c:v>103</c:v>
                </c:pt>
                <c:pt idx="77">
                  <c:v>103</c:v>
                </c:pt>
                <c:pt idx="78">
                  <c:v>102.98</c:v>
                </c:pt>
                <c:pt idx="79">
                  <c:v>103.48</c:v>
                </c:pt>
                <c:pt idx="80">
                  <c:v>103.48</c:v>
                </c:pt>
                <c:pt idx="81">
                  <c:v>103.5</c:v>
                </c:pt>
                <c:pt idx="82">
                  <c:v>103.5</c:v>
                </c:pt>
                <c:pt idx="83">
                  <c:v>103.5</c:v>
                </c:pt>
                <c:pt idx="84">
                  <c:v>103.5</c:v>
                </c:pt>
                <c:pt idx="85">
                  <c:v>103.5</c:v>
                </c:pt>
                <c:pt idx="86">
                  <c:v>103.45</c:v>
                </c:pt>
                <c:pt idx="87">
                  <c:v>97.8</c:v>
                </c:pt>
                <c:pt idx="88">
                  <c:v>97.3</c:v>
                </c:pt>
                <c:pt idx="89">
                  <c:v>97.1</c:v>
                </c:pt>
                <c:pt idx="90">
                  <c:v>97</c:v>
                </c:pt>
                <c:pt idx="91">
                  <c:v>97.1</c:v>
                </c:pt>
                <c:pt idx="92">
                  <c:v>97.1</c:v>
                </c:pt>
                <c:pt idx="93">
                  <c:v>97.01</c:v>
                </c:pt>
                <c:pt idx="94">
                  <c:v>97</c:v>
                </c:pt>
                <c:pt idx="95">
                  <c:v>97</c:v>
                </c:pt>
                <c:pt idx="96">
                  <c:v>97</c:v>
                </c:pt>
                <c:pt idx="97">
                  <c:v>97</c:v>
                </c:pt>
                <c:pt idx="98">
                  <c:v>96.97</c:v>
                </c:pt>
                <c:pt idx="99">
                  <c:v>96.7</c:v>
                </c:pt>
                <c:pt idx="100">
                  <c:v>96.5</c:v>
                </c:pt>
                <c:pt idx="101">
                  <c:v>95.25</c:v>
                </c:pt>
                <c:pt idx="102">
                  <c:v>95</c:v>
                </c:pt>
                <c:pt idx="103">
                  <c:v>95</c:v>
                </c:pt>
                <c:pt idx="104">
                  <c:v>95</c:v>
                </c:pt>
                <c:pt idx="105">
                  <c:v>94.2</c:v>
                </c:pt>
                <c:pt idx="106">
                  <c:v>94.25</c:v>
                </c:pt>
                <c:pt idx="107">
                  <c:v>94.1</c:v>
                </c:pt>
                <c:pt idx="108">
                  <c:v>94.1</c:v>
                </c:pt>
                <c:pt idx="109">
                  <c:v>93.39</c:v>
                </c:pt>
                <c:pt idx="110">
                  <c:v>93.3</c:v>
                </c:pt>
                <c:pt idx="111">
                  <c:v>92</c:v>
                </c:pt>
                <c:pt idx="112">
                  <c:v>90.98</c:v>
                </c:pt>
                <c:pt idx="113">
                  <c:v>90.6</c:v>
                </c:pt>
                <c:pt idx="114">
                  <c:v>93</c:v>
                </c:pt>
                <c:pt idx="115">
                  <c:v>92.99</c:v>
                </c:pt>
                <c:pt idx="116">
                  <c:v>92.79</c:v>
                </c:pt>
                <c:pt idx="117">
                  <c:v>94.28</c:v>
                </c:pt>
                <c:pt idx="118">
                  <c:v>94</c:v>
                </c:pt>
                <c:pt idx="119">
                  <c:v>94.15</c:v>
                </c:pt>
                <c:pt idx="120">
                  <c:v>94.15</c:v>
                </c:pt>
                <c:pt idx="121">
                  <c:v>94.15</c:v>
                </c:pt>
                <c:pt idx="122">
                  <c:v>94.15</c:v>
                </c:pt>
                <c:pt idx="123">
                  <c:v>94</c:v>
                </c:pt>
                <c:pt idx="124">
                  <c:v>95</c:v>
                </c:pt>
                <c:pt idx="125">
                  <c:v>94.99</c:v>
                </c:pt>
                <c:pt idx="126">
                  <c:v>94.2</c:v>
                </c:pt>
                <c:pt idx="127">
                  <c:v>94</c:v>
                </c:pt>
                <c:pt idx="128">
                  <c:v>95</c:v>
                </c:pt>
                <c:pt idx="129">
                  <c:v>94</c:v>
                </c:pt>
                <c:pt idx="130">
                  <c:v>95.49</c:v>
                </c:pt>
                <c:pt idx="131">
                  <c:v>95</c:v>
                </c:pt>
                <c:pt idx="132">
                  <c:v>94.98</c:v>
                </c:pt>
                <c:pt idx="133">
                  <c:v>94.98</c:v>
                </c:pt>
                <c:pt idx="134">
                  <c:v>94.5</c:v>
                </c:pt>
                <c:pt idx="135">
                  <c:v>94.6</c:v>
                </c:pt>
                <c:pt idx="136">
                  <c:v>94.5</c:v>
                </c:pt>
                <c:pt idx="137">
                  <c:v>94.8</c:v>
                </c:pt>
                <c:pt idx="138">
                  <c:v>94.3</c:v>
                </c:pt>
                <c:pt idx="139">
                  <c:v>94.3</c:v>
                </c:pt>
                <c:pt idx="140">
                  <c:v>94</c:v>
                </c:pt>
                <c:pt idx="141">
                  <c:v>94.3</c:v>
                </c:pt>
                <c:pt idx="142">
                  <c:v>94.25</c:v>
                </c:pt>
                <c:pt idx="143">
                  <c:v>94.3</c:v>
                </c:pt>
                <c:pt idx="144">
                  <c:v>94</c:v>
                </c:pt>
                <c:pt idx="145">
                  <c:v>93.9</c:v>
                </c:pt>
                <c:pt idx="146">
                  <c:v>93.9</c:v>
                </c:pt>
                <c:pt idx="147">
                  <c:v>93.9</c:v>
                </c:pt>
                <c:pt idx="148">
                  <c:v>93.9</c:v>
                </c:pt>
                <c:pt idx="149">
                  <c:v>93.9</c:v>
                </c:pt>
                <c:pt idx="150">
                  <c:v>93.8</c:v>
                </c:pt>
                <c:pt idx="151">
                  <c:v>93.7</c:v>
                </c:pt>
                <c:pt idx="152">
                  <c:v>93.68</c:v>
                </c:pt>
                <c:pt idx="153">
                  <c:v>93.7</c:v>
                </c:pt>
                <c:pt idx="154">
                  <c:v>93.8</c:v>
                </c:pt>
                <c:pt idx="155">
                  <c:v>93.9</c:v>
                </c:pt>
                <c:pt idx="156">
                  <c:v>93.9</c:v>
                </c:pt>
                <c:pt idx="157">
                  <c:v>94</c:v>
                </c:pt>
                <c:pt idx="158">
                  <c:v>94.3</c:v>
                </c:pt>
                <c:pt idx="159">
                  <c:v>93.9</c:v>
                </c:pt>
                <c:pt idx="160">
                  <c:v>94</c:v>
                </c:pt>
                <c:pt idx="161">
                  <c:v>94</c:v>
                </c:pt>
                <c:pt idx="162">
                  <c:v>94</c:v>
                </c:pt>
                <c:pt idx="163">
                  <c:v>94</c:v>
                </c:pt>
                <c:pt idx="164">
                  <c:v>93.99</c:v>
                </c:pt>
                <c:pt idx="165">
                  <c:v>96.65</c:v>
                </c:pt>
                <c:pt idx="166">
                  <c:v>95.5</c:v>
                </c:pt>
                <c:pt idx="167">
                  <c:v>95.5</c:v>
                </c:pt>
                <c:pt idx="168">
                  <c:v>96.5</c:v>
                </c:pt>
                <c:pt idx="169">
                  <c:v>96</c:v>
                </c:pt>
                <c:pt idx="170">
                  <c:v>97.9</c:v>
                </c:pt>
                <c:pt idx="171">
                  <c:v>97.8</c:v>
                </c:pt>
                <c:pt idx="172">
                  <c:v>97.75</c:v>
                </c:pt>
                <c:pt idx="173">
                  <c:v>98.89</c:v>
                </c:pt>
                <c:pt idx="174">
                  <c:v>101.9</c:v>
                </c:pt>
                <c:pt idx="175">
                  <c:v>101.49</c:v>
                </c:pt>
                <c:pt idx="176">
                  <c:v>101.5</c:v>
                </c:pt>
                <c:pt idx="177">
                  <c:v>101.5</c:v>
                </c:pt>
                <c:pt idx="178">
                  <c:v>101</c:v>
                </c:pt>
                <c:pt idx="179">
                  <c:v>101.3</c:v>
                </c:pt>
                <c:pt idx="180">
                  <c:v>101.9</c:v>
                </c:pt>
                <c:pt idx="181">
                  <c:v>104</c:v>
                </c:pt>
                <c:pt idx="182">
                  <c:v>104</c:v>
                </c:pt>
                <c:pt idx="183">
                  <c:v>103.99</c:v>
                </c:pt>
                <c:pt idx="184">
                  <c:v>103.6</c:v>
                </c:pt>
                <c:pt idx="185">
                  <c:v>102.99</c:v>
                </c:pt>
                <c:pt idx="186">
                  <c:v>102.6</c:v>
                </c:pt>
                <c:pt idx="187">
                  <c:v>102.69</c:v>
                </c:pt>
                <c:pt idx="188">
                  <c:v>102.7</c:v>
                </c:pt>
                <c:pt idx="189">
                  <c:v>101.98</c:v>
                </c:pt>
                <c:pt idx="190">
                  <c:v>101.98</c:v>
                </c:pt>
                <c:pt idx="191">
                  <c:v>101.98</c:v>
                </c:pt>
                <c:pt idx="192">
                  <c:v>101.98</c:v>
                </c:pt>
                <c:pt idx="193">
                  <c:v>101.98</c:v>
                </c:pt>
                <c:pt idx="194">
                  <c:v>101.8</c:v>
                </c:pt>
                <c:pt idx="195">
                  <c:v>101.6</c:v>
                </c:pt>
                <c:pt idx="196">
                  <c:v>101.1</c:v>
                </c:pt>
                <c:pt idx="197">
                  <c:v>101.6</c:v>
                </c:pt>
                <c:pt idx="198">
                  <c:v>102.8</c:v>
                </c:pt>
                <c:pt idx="199">
                  <c:v>103.8</c:v>
                </c:pt>
                <c:pt idx="200">
                  <c:v>103.7</c:v>
                </c:pt>
                <c:pt idx="201">
                  <c:v>103.75</c:v>
                </c:pt>
                <c:pt idx="202">
                  <c:v>103.99</c:v>
                </c:pt>
                <c:pt idx="203">
                  <c:v>104</c:v>
                </c:pt>
                <c:pt idx="204">
                  <c:v>104.2</c:v>
                </c:pt>
                <c:pt idx="205">
                  <c:v>105.48</c:v>
                </c:pt>
                <c:pt idx="206">
                  <c:v>105.4</c:v>
                </c:pt>
                <c:pt idx="207">
                  <c:v>105.6</c:v>
                </c:pt>
                <c:pt idx="208">
                  <c:v>107</c:v>
                </c:pt>
                <c:pt idx="209">
                  <c:v>107.8</c:v>
                </c:pt>
                <c:pt idx="210">
                  <c:v>109</c:v>
                </c:pt>
                <c:pt idx="211">
                  <c:v>111.3</c:v>
                </c:pt>
                <c:pt idx="212">
                  <c:v>109.9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27-4C0B-9511-6432BB35DEC0}"/>
            </c:ext>
          </c:extLst>
        </c:ser>
        <c:ser>
          <c:idx val="1"/>
          <c:order val="1"/>
          <c:tx>
            <c:strRef>
              <c:f>'Tunisia Stocks'!$E$1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Stocks'!$E$2:$E$418</c:f>
              <c:numCache>
                <c:formatCode>General</c:formatCode>
                <c:ptCount val="417"/>
                <c:pt idx="0">
                  <c:v>93.52</c:v>
                </c:pt>
                <c:pt idx="1">
                  <c:v>93.15</c:v>
                </c:pt>
                <c:pt idx="2">
                  <c:v>93.2</c:v>
                </c:pt>
                <c:pt idx="3">
                  <c:v>93.3</c:v>
                </c:pt>
                <c:pt idx="4">
                  <c:v>93.4</c:v>
                </c:pt>
                <c:pt idx="5">
                  <c:v>93.4</c:v>
                </c:pt>
                <c:pt idx="6">
                  <c:v>93.7</c:v>
                </c:pt>
                <c:pt idx="7">
                  <c:v>93.7</c:v>
                </c:pt>
                <c:pt idx="8">
                  <c:v>93.81</c:v>
                </c:pt>
                <c:pt idx="9">
                  <c:v>94.2</c:v>
                </c:pt>
                <c:pt idx="10">
                  <c:v>95.05</c:v>
                </c:pt>
                <c:pt idx="11">
                  <c:v>95.37</c:v>
                </c:pt>
                <c:pt idx="12">
                  <c:v>95.4</c:v>
                </c:pt>
                <c:pt idx="13">
                  <c:v>95.61</c:v>
                </c:pt>
                <c:pt idx="14">
                  <c:v>96.55</c:v>
                </c:pt>
                <c:pt idx="15">
                  <c:v>96.7</c:v>
                </c:pt>
                <c:pt idx="16">
                  <c:v>96.8</c:v>
                </c:pt>
                <c:pt idx="17">
                  <c:v>97.5</c:v>
                </c:pt>
                <c:pt idx="18">
                  <c:v>97</c:v>
                </c:pt>
                <c:pt idx="19">
                  <c:v>96.8</c:v>
                </c:pt>
                <c:pt idx="20">
                  <c:v>97</c:v>
                </c:pt>
                <c:pt idx="21">
                  <c:v>97</c:v>
                </c:pt>
                <c:pt idx="22">
                  <c:v>96.62</c:v>
                </c:pt>
                <c:pt idx="23">
                  <c:v>96</c:v>
                </c:pt>
                <c:pt idx="24">
                  <c:v>96.2</c:v>
                </c:pt>
                <c:pt idx="25">
                  <c:v>96.2</c:v>
                </c:pt>
                <c:pt idx="26">
                  <c:v>96.2</c:v>
                </c:pt>
                <c:pt idx="27">
                  <c:v>96.89</c:v>
                </c:pt>
                <c:pt idx="28">
                  <c:v>96.91</c:v>
                </c:pt>
                <c:pt idx="29">
                  <c:v>97</c:v>
                </c:pt>
                <c:pt idx="30">
                  <c:v>97</c:v>
                </c:pt>
                <c:pt idx="31">
                  <c:v>97</c:v>
                </c:pt>
                <c:pt idx="32">
                  <c:v>97.12</c:v>
                </c:pt>
                <c:pt idx="33">
                  <c:v>97.16</c:v>
                </c:pt>
                <c:pt idx="34">
                  <c:v>97.65</c:v>
                </c:pt>
                <c:pt idx="35">
                  <c:v>98.25</c:v>
                </c:pt>
                <c:pt idx="36">
                  <c:v>98.5</c:v>
                </c:pt>
                <c:pt idx="37">
                  <c:v>98.63</c:v>
                </c:pt>
                <c:pt idx="38">
                  <c:v>98.68</c:v>
                </c:pt>
                <c:pt idx="39">
                  <c:v>98.8</c:v>
                </c:pt>
                <c:pt idx="40">
                  <c:v>98.8</c:v>
                </c:pt>
                <c:pt idx="41">
                  <c:v>99.9</c:v>
                </c:pt>
                <c:pt idx="42">
                  <c:v>99.7</c:v>
                </c:pt>
                <c:pt idx="43">
                  <c:v>101</c:v>
                </c:pt>
                <c:pt idx="44">
                  <c:v>102.5</c:v>
                </c:pt>
                <c:pt idx="45">
                  <c:v>102.65</c:v>
                </c:pt>
                <c:pt idx="46">
                  <c:v>100</c:v>
                </c:pt>
                <c:pt idx="47">
                  <c:v>100.5</c:v>
                </c:pt>
                <c:pt idx="48">
                  <c:v>100.1</c:v>
                </c:pt>
                <c:pt idx="49">
                  <c:v>100.1</c:v>
                </c:pt>
                <c:pt idx="50">
                  <c:v>100.9</c:v>
                </c:pt>
                <c:pt idx="51">
                  <c:v>100.6</c:v>
                </c:pt>
                <c:pt idx="52">
                  <c:v>100.3</c:v>
                </c:pt>
                <c:pt idx="53">
                  <c:v>99.71</c:v>
                </c:pt>
                <c:pt idx="54">
                  <c:v>99</c:v>
                </c:pt>
                <c:pt idx="55">
                  <c:v>99</c:v>
                </c:pt>
                <c:pt idx="56">
                  <c:v>98.1</c:v>
                </c:pt>
                <c:pt idx="57">
                  <c:v>98</c:v>
                </c:pt>
                <c:pt idx="58">
                  <c:v>98.13</c:v>
                </c:pt>
                <c:pt idx="59">
                  <c:v>98.1</c:v>
                </c:pt>
                <c:pt idx="60">
                  <c:v>98.2</c:v>
                </c:pt>
                <c:pt idx="61">
                  <c:v>98</c:v>
                </c:pt>
                <c:pt idx="62">
                  <c:v>98.25</c:v>
                </c:pt>
                <c:pt idx="63">
                  <c:v>98.5</c:v>
                </c:pt>
                <c:pt idx="64">
                  <c:v>97.4</c:v>
                </c:pt>
                <c:pt idx="65">
                  <c:v>97.56</c:v>
                </c:pt>
                <c:pt idx="66">
                  <c:v>98.5</c:v>
                </c:pt>
                <c:pt idx="67">
                  <c:v>98.5</c:v>
                </c:pt>
                <c:pt idx="68">
                  <c:v>98.9</c:v>
                </c:pt>
                <c:pt idx="69">
                  <c:v>99.2</c:v>
                </c:pt>
                <c:pt idx="70">
                  <c:v>99.6</c:v>
                </c:pt>
                <c:pt idx="71">
                  <c:v>99.99</c:v>
                </c:pt>
                <c:pt idx="72">
                  <c:v>100</c:v>
                </c:pt>
                <c:pt idx="73">
                  <c:v>100.99</c:v>
                </c:pt>
                <c:pt idx="74">
                  <c:v>101.1</c:v>
                </c:pt>
                <c:pt idx="75">
                  <c:v>101.87</c:v>
                </c:pt>
                <c:pt idx="76">
                  <c:v>101.9</c:v>
                </c:pt>
                <c:pt idx="77">
                  <c:v>102</c:v>
                </c:pt>
                <c:pt idx="78">
                  <c:v>102</c:v>
                </c:pt>
                <c:pt idx="79">
                  <c:v>102</c:v>
                </c:pt>
                <c:pt idx="80">
                  <c:v>102.5</c:v>
                </c:pt>
                <c:pt idx="81">
                  <c:v>102.6</c:v>
                </c:pt>
                <c:pt idx="82">
                  <c:v>103.49</c:v>
                </c:pt>
                <c:pt idx="83">
                  <c:v>103.47</c:v>
                </c:pt>
                <c:pt idx="84">
                  <c:v>101.5</c:v>
                </c:pt>
                <c:pt idx="85">
                  <c:v>102</c:v>
                </c:pt>
                <c:pt idx="86">
                  <c:v>102.4</c:v>
                </c:pt>
                <c:pt idx="87">
                  <c:v>97</c:v>
                </c:pt>
                <c:pt idx="88">
                  <c:v>97</c:v>
                </c:pt>
                <c:pt idx="89">
                  <c:v>96.9</c:v>
                </c:pt>
                <c:pt idx="90">
                  <c:v>96.62</c:v>
                </c:pt>
                <c:pt idx="91">
                  <c:v>96.65</c:v>
                </c:pt>
                <c:pt idx="92">
                  <c:v>96.9</c:v>
                </c:pt>
                <c:pt idx="93">
                  <c:v>94.1</c:v>
                </c:pt>
                <c:pt idx="94">
                  <c:v>95.9</c:v>
                </c:pt>
                <c:pt idx="95">
                  <c:v>96.7</c:v>
                </c:pt>
                <c:pt idx="96">
                  <c:v>97</c:v>
                </c:pt>
                <c:pt idx="97">
                  <c:v>96.95</c:v>
                </c:pt>
                <c:pt idx="98">
                  <c:v>96.3</c:v>
                </c:pt>
                <c:pt idx="99">
                  <c:v>96.4</c:v>
                </c:pt>
                <c:pt idx="100">
                  <c:v>93.01</c:v>
                </c:pt>
                <c:pt idx="101">
                  <c:v>94.1</c:v>
                </c:pt>
                <c:pt idx="102">
                  <c:v>93.5</c:v>
                </c:pt>
                <c:pt idx="103">
                  <c:v>93.4</c:v>
                </c:pt>
                <c:pt idx="104">
                  <c:v>94</c:v>
                </c:pt>
                <c:pt idx="105">
                  <c:v>94.09</c:v>
                </c:pt>
                <c:pt idx="106">
                  <c:v>93</c:v>
                </c:pt>
                <c:pt idx="107">
                  <c:v>93.61</c:v>
                </c:pt>
                <c:pt idx="108">
                  <c:v>91.06</c:v>
                </c:pt>
                <c:pt idx="109">
                  <c:v>92.02</c:v>
                </c:pt>
                <c:pt idx="110">
                  <c:v>92</c:v>
                </c:pt>
                <c:pt idx="111">
                  <c:v>90.2</c:v>
                </c:pt>
                <c:pt idx="112">
                  <c:v>90</c:v>
                </c:pt>
                <c:pt idx="113">
                  <c:v>90</c:v>
                </c:pt>
                <c:pt idx="114">
                  <c:v>90.2</c:v>
                </c:pt>
                <c:pt idx="115">
                  <c:v>92.5</c:v>
                </c:pt>
                <c:pt idx="116">
                  <c:v>92</c:v>
                </c:pt>
                <c:pt idx="117">
                  <c:v>92.2</c:v>
                </c:pt>
                <c:pt idx="118">
                  <c:v>93</c:v>
                </c:pt>
                <c:pt idx="119">
                  <c:v>94</c:v>
                </c:pt>
                <c:pt idx="120">
                  <c:v>92.7</c:v>
                </c:pt>
                <c:pt idx="121">
                  <c:v>93.5</c:v>
                </c:pt>
                <c:pt idx="122">
                  <c:v>93.5</c:v>
                </c:pt>
                <c:pt idx="123">
                  <c:v>91.5</c:v>
                </c:pt>
                <c:pt idx="124">
                  <c:v>93.7</c:v>
                </c:pt>
                <c:pt idx="125">
                  <c:v>94</c:v>
                </c:pt>
                <c:pt idx="126">
                  <c:v>93.8</c:v>
                </c:pt>
                <c:pt idx="127">
                  <c:v>93.8</c:v>
                </c:pt>
                <c:pt idx="128">
                  <c:v>93.9</c:v>
                </c:pt>
                <c:pt idx="129">
                  <c:v>93.9</c:v>
                </c:pt>
                <c:pt idx="130">
                  <c:v>93.81</c:v>
                </c:pt>
                <c:pt idx="131">
                  <c:v>94</c:v>
                </c:pt>
                <c:pt idx="132">
                  <c:v>94.01</c:v>
                </c:pt>
                <c:pt idx="133">
                  <c:v>94.35</c:v>
                </c:pt>
                <c:pt idx="134">
                  <c:v>94</c:v>
                </c:pt>
                <c:pt idx="135">
                  <c:v>94.5</c:v>
                </c:pt>
                <c:pt idx="136">
                  <c:v>93.8</c:v>
                </c:pt>
                <c:pt idx="137">
                  <c:v>93.81</c:v>
                </c:pt>
                <c:pt idx="138">
                  <c:v>94</c:v>
                </c:pt>
                <c:pt idx="139">
                  <c:v>94</c:v>
                </c:pt>
                <c:pt idx="140">
                  <c:v>93</c:v>
                </c:pt>
                <c:pt idx="141">
                  <c:v>93.5</c:v>
                </c:pt>
                <c:pt idx="142">
                  <c:v>93.81</c:v>
                </c:pt>
                <c:pt idx="143">
                  <c:v>93.8</c:v>
                </c:pt>
                <c:pt idx="144">
                  <c:v>93.5</c:v>
                </c:pt>
                <c:pt idx="145">
                  <c:v>93.81</c:v>
                </c:pt>
                <c:pt idx="146">
                  <c:v>93.82</c:v>
                </c:pt>
                <c:pt idx="147">
                  <c:v>93</c:v>
                </c:pt>
                <c:pt idx="148">
                  <c:v>93.8</c:v>
                </c:pt>
                <c:pt idx="149">
                  <c:v>93.31</c:v>
                </c:pt>
                <c:pt idx="150">
                  <c:v>93.35</c:v>
                </c:pt>
                <c:pt idx="151">
                  <c:v>93</c:v>
                </c:pt>
                <c:pt idx="152">
                  <c:v>93.3</c:v>
                </c:pt>
                <c:pt idx="153">
                  <c:v>93.5</c:v>
                </c:pt>
                <c:pt idx="154">
                  <c:v>93.7</c:v>
                </c:pt>
                <c:pt idx="155">
                  <c:v>93.79</c:v>
                </c:pt>
                <c:pt idx="156">
                  <c:v>93.73</c:v>
                </c:pt>
                <c:pt idx="157">
                  <c:v>93.9</c:v>
                </c:pt>
                <c:pt idx="158">
                  <c:v>93.92</c:v>
                </c:pt>
                <c:pt idx="159">
                  <c:v>93.71</c:v>
                </c:pt>
                <c:pt idx="160">
                  <c:v>93.71</c:v>
                </c:pt>
                <c:pt idx="161">
                  <c:v>93.71</c:v>
                </c:pt>
                <c:pt idx="162">
                  <c:v>93.71</c:v>
                </c:pt>
                <c:pt idx="163">
                  <c:v>93.9</c:v>
                </c:pt>
                <c:pt idx="164">
                  <c:v>93</c:v>
                </c:pt>
                <c:pt idx="165">
                  <c:v>93.98</c:v>
                </c:pt>
                <c:pt idx="166">
                  <c:v>95</c:v>
                </c:pt>
                <c:pt idx="167">
                  <c:v>94.7</c:v>
                </c:pt>
                <c:pt idx="168">
                  <c:v>95</c:v>
                </c:pt>
                <c:pt idx="169">
                  <c:v>95.55</c:v>
                </c:pt>
                <c:pt idx="170">
                  <c:v>95.5</c:v>
                </c:pt>
                <c:pt idx="171">
                  <c:v>96</c:v>
                </c:pt>
                <c:pt idx="172">
                  <c:v>97</c:v>
                </c:pt>
                <c:pt idx="173">
                  <c:v>97.68</c:v>
                </c:pt>
                <c:pt idx="174">
                  <c:v>98.89</c:v>
                </c:pt>
                <c:pt idx="175">
                  <c:v>100.2</c:v>
                </c:pt>
                <c:pt idx="176">
                  <c:v>100.5</c:v>
                </c:pt>
                <c:pt idx="177">
                  <c:v>100.9</c:v>
                </c:pt>
                <c:pt idx="178">
                  <c:v>100.6</c:v>
                </c:pt>
                <c:pt idx="179">
                  <c:v>101</c:v>
                </c:pt>
                <c:pt idx="180">
                  <c:v>101</c:v>
                </c:pt>
                <c:pt idx="181">
                  <c:v>101.9</c:v>
                </c:pt>
                <c:pt idx="182">
                  <c:v>102.95</c:v>
                </c:pt>
                <c:pt idx="183">
                  <c:v>102.95</c:v>
                </c:pt>
                <c:pt idx="184">
                  <c:v>102.95</c:v>
                </c:pt>
                <c:pt idx="185">
                  <c:v>99</c:v>
                </c:pt>
                <c:pt idx="186">
                  <c:v>102</c:v>
                </c:pt>
                <c:pt idx="187">
                  <c:v>101.9</c:v>
                </c:pt>
                <c:pt idx="188">
                  <c:v>100</c:v>
                </c:pt>
                <c:pt idx="189">
                  <c:v>101</c:v>
                </c:pt>
                <c:pt idx="190">
                  <c:v>101</c:v>
                </c:pt>
                <c:pt idx="191">
                  <c:v>101</c:v>
                </c:pt>
                <c:pt idx="192">
                  <c:v>101.95</c:v>
                </c:pt>
                <c:pt idx="193">
                  <c:v>101.25</c:v>
                </c:pt>
                <c:pt idx="194">
                  <c:v>101.1</c:v>
                </c:pt>
                <c:pt idx="195">
                  <c:v>101.05</c:v>
                </c:pt>
                <c:pt idx="196">
                  <c:v>101</c:v>
                </c:pt>
                <c:pt idx="197">
                  <c:v>101</c:v>
                </c:pt>
                <c:pt idx="198">
                  <c:v>101.49</c:v>
                </c:pt>
                <c:pt idx="199">
                  <c:v>102.9</c:v>
                </c:pt>
                <c:pt idx="200">
                  <c:v>103.6</c:v>
                </c:pt>
                <c:pt idx="201">
                  <c:v>103</c:v>
                </c:pt>
                <c:pt idx="202">
                  <c:v>103.2</c:v>
                </c:pt>
                <c:pt idx="203">
                  <c:v>103.4</c:v>
                </c:pt>
                <c:pt idx="204">
                  <c:v>103.95</c:v>
                </c:pt>
                <c:pt idx="205">
                  <c:v>104.2</c:v>
                </c:pt>
                <c:pt idx="206">
                  <c:v>104.4</c:v>
                </c:pt>
                <c:pt idx="207">
                  <c:v>104.5</c:v>
                </c:pt>
                <c:pt idx="208">
                  <c:v>105.01</c:v>
                </c:pt>
                <c:pt idx="209">
                  <c:v>106.94</c:v>
                </c:pt>
                <c:pt idx="210">
                  <c:v>107</c:v>
                </c:pt>
                <c:pt idx="211">
                  <c:v>108.01</c:v>
                </c:pt>
                <c:pt idx="212">
                  <c:v>108.59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27-4C0B-9511-6432BB35D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750864"/>
        <c:axId val="781750384"/>
      </c:lineChart>
      <c:dateAx>
        <c:axId val="7817508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50384"/>
        <c:crosses val="autoZero"/>
        <c:auto val="1"/>
        <c:lblOffset val="100"/>
        <c:baseTimeUnit val="days"/>
      </c:dateAx>
      <c:valAx>
        <c:axId val="781750384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5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'Tunisia Stocks'!$G$1</c:f>
              <c:strCache>
                <c:ptCount val="1"/>
                <c:pt idx="0">
                  <c:v>Change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Stocks'!$G$2:$G$418</c:f>
              <c:numCache>
                <c:formatCode>0.00%</c:formatCode>
                <c:ptCount val="417"/>
                <c:pt idx="0">
                  <c:v>6.9999999999999999E-4</c:v>
                </c:pt>
                <c:pt idx="1">
                  <c:v>-4.3E-3</c:v>
                </c:pt>
                <c:pt idx="2">
                  <c:v>2E-3</c:v>
                </c:pt>
                <c:pt idx="3">
                  <c:v>-2E-3</c:v>
                </c:pt>
                <c:pt idx="4">
                  <c:v>2.0999999999999999E-3</c:v>
                </c:pt>
                <c:pt idx="5">
                  <c:v>3.0999999999999999E-3</c:v>
                </c:pt>
                <c:pt idx="6">
                  <c:v>0</c:v>
                </c:pt>
                <c:pt idx="7">
                  <c:v>1E-4</c:v>
                </c:pt>
                <c:pt idx="8">
                  <c:v>1.0500000000000001E-2</c:v>
                </c:pt>
                <c:pt idx="9">
                  <c:v>2.12E-2</c:v>
                </c:pt>
                <c:pt idx="10">
                  <c:v>-1.5E-3</c:v>
                </c:pt>
                <c:pt idx="11">
                  <c:v>-3.5999999999999999E-3</c:v>
                </c:pt>
                <c:pt idx="12">
                  <c:v>0</c:v>
                </c:pt>
                <c:pt idx="13">
                  <c:v>5.1999999999999998E-3</c:v>
                </c:pt>
                <c:pt idx="14">
                  <c:v>-2.0999999999999999E-3</c:v>
                </c:pt>
                <c:pt idx="15">
                  <c:v>1.6500000000000001E-2</c:v>
                </c:pt>
                <c:pt idx="16">
                  <c:v>5.1000000000000004E-3</c:v>
                </c:pt>
                <c:pt idx="17">
                  <c:v>-9.1000000000000004E-3</c:v>
                </c:pt>
                <c:pt idx="18">
                  <c:v>-2E-3</c:v>
                </c:pt>
                <c:pt idx="19">
                  <c:v>-4.1000000000000003E-3</c:v>
                </c:pt>
                <c:pt idx="20">
                  <c:v>3.0999999999999999E-3</c:v>
                </c:pt>
                <c:pt idx="21">
                  <c:v>-7.1999999999999998E-3</c:v>
                </c:pt>
                <c:pt idx="22">
                  <c:v>0</c:v>
                </c:pt>
                <c:pt idx="23">
                  <c:v>-2.0000000000000001E-4</c:v>
                </c:pt>
                <c:pt idx="24">
                  <c:v>-8.0000000000000004E-4</c:v>
                </c:pt>
                <c:pt idx="25">
                  <c:v>-4.5999999999999999E-3</c:v>
                </c:pt>
                <c:pt idx="26">
                  <c:v>5.5999999999999999E-3</c:v>
                </c:pt>
                <c:pt idx="27">
                  <c:v>4.1999999999999997E-3</c:v>
                </c:pt>
                <c:pt idx="28">
                  <c:v>-3.8E-3</c:v>
                </c:pt>
                <c:pt idx="29">
                  <c:v>1.1999999999999999E-3</c:v>
                </c:pt>
                <c:pt idx="30">
                  <c:v>2.5999999999999999E-3</c:v>
                </c:pt>
                <c:pt idx="31">
                  <c:v>1E-3</c:v>
                </c:pt>
                <c:pt idx="32">
                  <c:v>0</c:v>
                </c:pt>
                <c:pt idx="33">
                  <c:v>1.03E-2</c:v>
                </c:pt>
                <c:pt idx="34">
                  <c:v>4.0000000000000001E-3</c:v>
                </c:pt>
                <c:pt idx="35">
                  <c:v>1E-4</c:v>
                </c:pt>
                <c:pt idx="36">
                  <c:v>6.1000000000000004E-3</c:v>
                </c:pt>
                <c:pt idx="37">
                  <c:v>-5.0000000000000001E-3</c:v>
                </c:pt>
                <c:pt idx="38">
                  <c:v>-2.8999999999999998E-3</c:v>
                </c:pt>
                <c:pt idx="39">
                  <c:v>1.9E-3</c:v>
                </c:pt>
                <c:pt idx="40">
                  <c:v>8.0999999999999996E-3</c:v>
                </c:pt>
                <c:pt idx="41">
                  <c:v>2E-3</c:v>
                </c:pt>
                <c:pt idx="42">
                  <c:v>1.0999999999999999E-2</c:v>
                </c:pt>
                <c:pt idx="43">
                  <c:v>2.4799999999999999E-2</c:v>
                </c:pt>
                <c:pt idx="44">
                  <c:v>-4.7999999999999996E-3</c:v>
                </c:pt>
                <c:pt idx="45">
                  <c:v>2.3999999999999998E-3</c:v>
                </c:pt>
                <c:pt idx="46">
                  <c:v>-2.18E-2</c:v>
                </c:pt>
                <c:pt idx="47">
                  <c:v>-1E-4</c:v>
                </c:pt>
                <c:pt idx="48">
                  <c:v>-8.8000000000000005E-3</c:v>
                </c:pt>
                <c:pt idx="49">
                  <c:v>8.9999999999999993E-3</c:v>
                </c:pt>
                <c:pt idx="50">
                  <c:v>8.8999999999999999E-3</c:v>
                </c:pt>
                <c:pt idx="51">
                  <c:v>-1.2800000000000001E-2</c:v>
                </c:pt>
                <c:pt idx="52">
                  <c:v>-1E-4</c:v>
                </c:pt>
                <c:pt idx="53">
                  <c:v>-6.8999999999999999E-3</c:v>
                </c:pt>
                <c:pt idx="54">
                  <c:v>-1.8E-3</c:v>
                </c:pt>
                <c:pt idx="55">
                  <c:v>-2.0000000000000001E-4</c:v>
                </c:pt>
                <c:pt idx="56">
                  <c:v>-8.0000000000000002E-3</c:v>
                </c:pt>
                <c:pt idx="57">
                  <c:v>0</c:v>
                </c:pt>
                <c:pt idx="58">
                  <c:v>-2.3999999999999998E-3</c:v>
                </c:pt>
                <c:pt idx="59">
                  <c:v>2.3999999999999998E-3</c:v>
                </c:pt>
                <c:pt idx="60">
                  <c:v>-4.0000000000000001E-3</c:v>
                </c:pt>
                <c:pt idx="61">
                  <c:v>0</c:v>
                </c:pt>
                <c:pt idx="62">
                  <c:v>0</c:v>
                </c:pt>
                <c:pt idx="63">
                  <c:v>3.5999999999999999E-3</c:v>
                </c:pt>
                <c:pt idx="64">
                  <c:v>-8.6E-3</c:v>
                </c:pt>
                <c:pt idx="65">
                  <c:v>6.1000000000000004E-3</c:v>
                </c:pt>
                <c:pt idx="66">
                  <c:v>0</c:v>
                </c:pt>
                <c:pt idx="67">
                  <c:v>3.8999999999999998E-3</c:v>
                </c:pt>
                <c:pt idx="68">
                  <c:v>2.2000000000000001E-3</c:v>
                </c:pt>
                <c:pt idx="69">
                  <c:v>8.0000000000000002E-3</c:v>
                </c:pt>
                <c:pt idx="70">
                  <c:v>0</c:v>
                </c:pt>
                <c:pt idx="71">
                  <c:v>0.02</c:v>
                </c:pt>
                <c:pt idx="72">
                  <c:v>-9.7999999999999997E-3</c:v>
                </c:pt>
                <c:pt idx="73">
                  <c:v>8.6999999999999994E-3</c:v>
                </c:pt>
                <c:pt idx="74">
                  <c:v>0</c:v>
                </c:pt>
                <c:pt idx="75">
                  <c:v>1.2999999999999999E-3</c:v>
                </c:pt>
                <c:pt idx="76">
                  <c:v>9.7999999999999997E-3</c:v>
                </c:pt>
                <c:pt idx="77">
                  <c:v>-5.0000000000000001E-3</c:v>
                </c:pt>
                <c:pt idx="78">
                  <c:v>0</c:v>
                </c:pt>
                <c:pt idx="79">
                  <c:v>8.8999999999999999E-3</c:v>
                </c:pt>
                <c:pt idx="80">
                  <c:v>-3.8999999999999998E-3</c:v>
                </c:pt>
                <c:pt idx="81">
                  <c:v>4.8999999999999998E-3</c:v>
                </c:pt>
                <c:pt idx="82">
                  <c:v>0</c:v>
                </c:pt>
                <c:pt idx="83">
                  <c:v>-2.9999999999999997E-4</c:v>
                </c:pt>
                <c:pt idx="84">
                  <c:v>0</c:v>
                </c:pt>
                <c:pt idx="85">
                  <c:v>-6.9999999999999999E-4</c:v>
                </c:pt>
                <c:pt idx="86">
                  <c:v>5.0000000000000001E-4</c:v>
                </c:pt>
                <c:pt idx="87">
                  <c:v>-5.9400000000000001E-2</c:v>
                </c:pt>
                <c:pt idx="88">
                  <c:v>-2.0999999999999999E-3</c:v>
                </c:pt>
                <c:pt idx="89">
                  <c:v>-1E-3</c:v>
                </c:pt>
                <c:pt idx="90">
                  <c:v>-2.0000000000000001E-4</c:v>
                </c:pt>
                <c:pt idx="91">
                  <c:v>1.1999999999999999E-3</c:v>
                </c:pt>
                <c:pt idx="92">
                  <c:v>-2.0999999999999999E-3</c:v>
                </c:pt>
                <c:pt idx="93">
                  <c:v>-2.1700000000000001E-2</c:v>
                </c:pt>
                <c:pt idx="94">
                  <c:v>2.3099999999999999E-2</c:v>
                </c:pt>
                <c:pt idx="95">
                  <c:v>1E-4</c:v>
                </c:pt>
                <c:pt idx="96">
                  <c:v>0</c:v>
                </c:pt>
                <c:pt idx="97">
                  <c:v>-2.0000000000000001E-4</c:v>
                </c:pt>
                <c:pt idx="98">
                  <c:v>-4.8999999999999998E-3</c:v>
                </c:pt>
                <c:pt idx="99">
                  <c:v>-1E-3</c:v>
                </c:pt>
                <c:pt idx="100">
                  <c:v>-6.1999999999999998E-3</c:v>
                </c:pt>
                <c:pt idx="101">
                  <c:v>-1.3599999999999999E-2</c:v>
                </c:pt>
                <c:pt idx="102">
                  <c:v>0</c:v>
                </c:pt>
                <c:pt idx="103">
                  <c:v>-5.3E-3</c:v>
                </c:pt>
                <c:pt idx="104">
                  <c:v>2.0999999999999999E-3</c:v>
                </c:pt>
                <c:pt idx="105">
                  <c:v>-1.1000000000000001E-3</c:v>
                </c:pt>
                <c:pt idx="106">
                  <c:v>-1.1000000000000001E-3</c:v>
                </c:pt>
                <c:pt idx="107">
                  <c:v>8.9999999999999998E-4</c:v>
                </c:pt>
                <c:pt idx="108">
                  <c:v>-6.3E-3</c:v>
                </c:pt>
                <c:pt idx="109">
                  <c:v>-2E-3</c:v>
                </c:pt>
                <c:pt idx="110">
                  <c:v>-1.3899999999999999E-2</c:v>
                </c:pt>
                <c:pt idx="111">
                  <c:v>-1.47E-2</c:v>
                </c:pt>
                <c:pt idx="112">
                  <c:v>-1.6999999999999999E-3</c:v>
                </c:pt>
                <c:pt idx="113">
                  <c:v>-3.3E-3</c:v>
                </c:pt>
                <c:pt idx="114">
                  <c:v>3.09E-2</c:v>
                </c:pt>
                <c:pt idx="115">
                  <c:v>-2.2000000000000001E-3</c:v>
                </c:pt>
                <c:pt idx="116">
                  <c:v>-8.3000000000000001E-3</c:v>
                </c:pt>
                <c:pt idx="117">
                  <c:v>2.1499999999999998E-2</c:v>
                </c:pt>
                <c:pt idx="118">
                  <c:v>0</c:v>
                </c:pt>
                <c:pt idx="119">
                  <c:v>1.6000000000000001E-3</c:v>
                </c:pt>
                <c:pt idx="120">
                  <c:v>-1.6000000000000001E-3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-1.1000000000000001E-3</c:v>
                </c:pt>
                <c:pt idx="129">
                  <c:v>1.1000000000000001E-3</c:v>
                </c:pt>
                <c:pt idx="130">
                  <c:v>0</c:v>
                </c:pt>
                <c:pt idx="131">
                  <c:v>1.04E-2</c:v>
                </c:pt>
                <c:pt idx="132">
                  <c:v>-5.1000000000000004E-3</c:v>
                </c:pt>
                <c:pt idx="133">
                  <c:v>-1.1000000000000001E-3</c:v>
                </c:pt>
                <c:pt idx="134">
                  <c:v>0</c:v>
                </c:pt>
                <c:pt idx="135">
                  <c:v>2.0999999999999999E-3</c:v>
                </c:pt>
                <c:pt idx="136">
                  <c:v>-8.5000000000000006E-3</c:v>
                </c:pt>
                <c:pt idx="137">
                  <c:v>5.3E-3</c:v>
                </c:pt>
                <c:pt idx="138">
                  <c:v>-1.1000000000000001E-3</c:v>
                </c:pt>
                <c:pt idx="139">
                  <c:v>0</c:v>
                </c:pt>
                <c:pt idx="140">
                  <c:v>-4.1999999999999997E-3</c:v>
                </c:pt>
                <c:pt idx="141">
                  <c:v>2.0999999999999999E-3</c:v>
                </c:pt>
                <c:pt idx="142">
                  <c:v>0</c:v>
                </c:pt>
                <c:pt idx="143">
                  <c:v>0</c:v>
                </c:pt>
                <c:pt idx="144">
                  <c:v>-5.0000000000000001E-4</c:v>
                </c:pt>
                <c:pt idx="145">
                  <c:v>-5.0000000000000001E-4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-5.0000000000000001E-4</c:v>
                </c:pt>
                <c:pt idx="150">
                  <c:v>-1.6000000000000001E-3</c:v>
                </c:pt>
                <c:pt idx="151">
                  <c:v>0</c:v>
                </c:pt>
                <c:pt idx="152">
                  <c:v>-2.0000000000000001E-4</c:v>
                </c:pt>
                <c:pt idx="153">
                  <c:v>2.0000000000000001E-4</c:v>
                </c:pt>
                <c:pt idx="154">
                  <c:v>1E-3</c:v>
                </c:pt>
                <c:pt idx="155">
                  <c:v>1.1999999999999999E-3</c:v>
                </c:pt>
                <c:pt idx="156">
                  <c:v>0</c:v>
                </c:pt>
                <c:pt idx="157">
                  <c:v>1.1000000000000001E-3</c:v>
                </c:pt>
                <c:pt idx="158">
                  <c:v>-8.9999999999999998E-4</c:v>
                </c:pt>
                <c:pt idx="159">
                  <c:v>-2.2000000000000001E-3</c:v>
                </c:pt>
                <c:pt idx="160">
                  <c:v>3.0999999999999999E-3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-2.7000000000000001E-3</c:v>
                </c:pt>
                <c:pt idx="165">
                  <c:v>1.8700000000000001E-2</c:v>
                </c:pt>
                <c:pt idx="166">
                  <c:v>-1.1999999999999999E-3</c:v>
                </c:pt>
                <c:pt idx="167">
                  <c:v>-7.1999999999999998E-3</c:v>
                </c:pt>
                <c:pt idx="168">
                  <c:v>1.37E-2</c:v>
                </c:pt>
                <c:pt idx="169">
                  <c:v>-2.2000000000000001E-3</c:v>
                </c:pt>
                <c:pt idx="170">
                  <c:v>2.1999999999999999E-2</c:v>
                </c:pt>
                <c:pt idx="171">
                  <c:v>-2.0999999999999999E-3</c:v>
                </c:pt>
                <c:pt idx="172">
                  <c:v>-1E-4</c:v>
                </c:pt>
                <c:pt idx="173">
                  <c:v>1.24E-2</c:v>
                </c:pt>
                <c:pt idx="174">
                  <c:v>2.1299999999999999E-2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-1.6000000000000001E-3</c:v>
                </c:pt>
                <c:pt idx="179">
                  <c:v>4.0000000000000001E-3</c:v>
                </c:pt>
                <c:pt idx="180">
                  <c:v>6.4999999999999997E-3</c:v>
                </c:pt>
                <c:pt idx="181">
                  <c:v>1.03E-2</c:v>
                </c:pt>
                <c:pt idx="182">
                  <c:v>6.3E-3</c:v>
                </c:pt>
                <c:pt idx="183">
                  <c:v>-5.7999999999999996E-3</c:v>
                </c:pt>
                <c:pt idx="184">
                  <c:v>0</c:v>
                </c:pt>
                <c:pt idx="185">
                  <c:v>-5.9999999999999995E-4</c:v>
                </c:pt>
                <c:pt idx="186">
                  <c:v>-9.1000000000000004E-3</c:v>
                </c:pt>
                <c:pt idx="187">
                  <c:v>6.7999999999999996E-3</c:v>
                </c:pt>
                <c:pt idx="188">
                  <c:v>-6.7999999999999996E-3</c:v>
                </c:pt>
                <c:pt idx="189">
                  <c:v>-9.7000000000000003E-3</c:v>
                </c:pt>
                <c:pt idx="190">
                  <c:v>4.0000000000000001E-3</c:v>
                </c:pt>
                <c:pt idx="191">
                  <c:v>0</c:v>
                </c:pt>
                <c:pt idx="192">
                  <c:v>5.5999999999999999E-3</c:v>
                </c:pt>
                <c:pt idx="193">
                  <c:v>-2.9999999999999997E-4</c:v>
                </c:pt>
                <c:pt idx="194">
                  <c:v>-8.2000000000000007E-3</c:v>
                </c:pt>
                <c:pt idx="195">
                  <c:v>0</c:v>
                </c:pt>
                <c:pt idx="196">
                  <c:v>-5.0000000000000001E-4</c:v>
                </c:pt>
                <c:pt idx="197">
                  <c:v>0</c:v>
                </c:pt>
                <c:pt idx="198">
                  <c:v>1.7299999999999999E-2</c:v>
                </c:pt>
                <c:pt idx="199">
                  <c:v>9.7000000000000003E-3</c:v>
                </c:pt>
                <c:pt idx="200">
                  <c:v>-1E-3</c:v>
                </c:pt>
                <c:pt idx="201">
                  <c:v>-2.8999999999999998E-3</c:v>
                </c:pt>
                <c:pt idx="202">
                  <c:v>4.7999999999999996E-3</c:v>
                </c:pt>
                <c:pt idx="203">
                  <c:v>5.0000000000000001E-4</c:v>
                </c:pt>
                <c:pt idx="204">
                  <c:v>2.3999999999999998E-3</c:v>
                </c:pt>
                <c:pt idx="205">
                  <c:v>1.23E-2</c:v>
                </c:pt>
                <c:pt idx="206">
                  <c:v>-8.0000000000000004E-4</c:v>
                </c:pt>
                <c:pt idx="207">
                  <c:v>8.9999999999999998E-4</c:v>
                </c:pt>
                <c:pt idx="208">
                  <c:v>1.3599999999999999E-2</c:v>
                </c:pt>
                <c:pt idx="209">
                  <c:v>5.1999999999999998E-3</c:v>
                </c:pt>
                <c:pt idx="210">
                  <c:v>4.7000000000000002E-3</c:v>
                </c:pt>
                <c:pt idx="211">
                  <c:v>5.5999999999999999E-3</c:v>
                </c:pt>
                <c:pt idx="212">
                  <c:v>1.8E-3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7C-4DFD-958E-160B7E9DE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274608"/>
        <c:axId val="758275088"/>
      </c:lineChart>
      <c:dateAx>
        <c:axId val="7582746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275088"/>
        <c:crosses val="autoZero"/>
        <c:auto val="1"/>
        <c:lblOffset val="100"/>
        <c:baseTimeUnit val="days"/>
      </c:dateAx>
      <c:valAx>
        <c:axId val="75827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27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F73381-5977-4052-9937-28EB6489DA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304800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B3E71E-D52C-47C1-95F7-A38E4B2358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7</xdr:col>
      <xdr:colOff>304800</xdr:colOff>
      <xdr:row>44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405AD5-0E14-4F64-9401-977908116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7</xdr:col>
      <xdr:colOff>304800</xdr:colOff>
      <xdr:row>59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AB4A55-7007-45E7-8FA3-F22F147AC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DE2E5A-C931-4CE6-8E5F-8032185CC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8B30A9-15BF-49D8-A1A3-245E2B5A5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304800</xdr:colOff>
      <xdr:row>29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2CE67E-E9BC-46AB-A74E-F4DA32D99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304800</xdr:colOff>
      <xdr:row>29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985845-619F-4A9B-A3B3-9F1F88E69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7</xdr:col>
      <xdr:colOff>304800</xdr:colOff>
      <xdr:row>44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A1A7E0-EF06-4880-8A14-6A693A4D28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15</xdr:col>
      <xdr:colOff>304800</xdr:colOff>
      <xdr:row>44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0F0166-7380-4533-9FA0-F942D368E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6">
  <a r="1" c="215">
    <v t="i">1</v>
    <v t="i">2</v>
    <v t="i">5</v>
    <v t="i">6</v>
    <v t="i">7</v>
    <v t="i">9</v>
    <v t="i">12</v>
    <v t="i">13</v>
    <v t="i">14</v>
    <v t="i">15</v>
    <v t="i">16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142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170</v>
    <v t="i">173</v>
    <v t="i">174</v>
    <v t="i">175</v>
    <v t="i">176</v>
    <v t="i">177</v>
    <v t="i">180</v>
    <v t="i">181</v>
    <v t="i">182</v>
    <v t="i">183</v>
    <v t="i">187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  <v t="i">292</v>
    <v t="i">293</v>
    <v t="i">294</v>
    <v t="i">295</v>
    <v t="i">296</v>
    <v t="i">299</v>
    <v t="i">300</v>
    <v t="i">301</v>
    <v t="i">302</v>
    <v t="i">303</v>
    <v t="i">306</v>
    <v t="i">307</v>
    <v t="i">308</v>
    <v t="i">309</v>
    <v t="i">310</v>
    <v t="i">313</v>
  </a>
  <a r="1" c="215">
    <v>219.94</v>
    <v>222.65</v>
    <v>222.67</v>
    <v>223.96</v>
    <v>223.18</v>
    <v>219.75</v>
    <v>217.4</v>
    <v>217.75</v>
    <v>220.03</v>
    <v>222.66</v>
    <v>224.79</v>
    <v>224.26</v>
    <v>223.26</v>
    <v>226.04</v>
    <v>224.8</v>
    <v>224.13</v>
    <v>225.66</v>
    <v>228.63</v>
    <v>258.27</v>
    <v>255.7</v>
    <v>260.73</v>
    <v>264.45999999999998</v>
    <v>263.3</v>
    <v>253.44</v>
    <v>252.34</v>
    <v>249.27</v>
    <v>254.7</v>
    <v>255.81</v>
    <v>259.19</v>
    <v>261.27999999999997</v>
    <v>263.07</v>
    <v>264.32</v>
    <v>264.74</v>
    <v>261.48</v>
    <v>261.87</v>
    <v>257.75</v>
    <v>255.84</v>
    <v>253.23</v>
    <v>252.44</v>
    <v>250.19</v>
    <v>253.21</v>
    <v>251.35</v>
    <v>248.69</v>
    <v>261.54000000000002</v>
    <v>256.89999999999998</v>
    <v>248.95</v>
    <v>249.63</v>
    <v>245.8</v>
    <v>248.35</v>
    <v>252.97</v>
    <v>246.95</v>
    <v>252.29</v>
    <v>243.32</v>
    <v>243.87</v>
    <v>248.45</v>
    <v>249.9</v>
    <v>250.34</v>
    <v>246.21</v>
    <v>244</v>
    <v>248.66</v>
    <v>250.34</v>
    <v>249.98</v>
    <v>243.49</v>
    <v>227.48</v>
    <v>225.78</v>
    <v>221.03</v>
    <v>235.31</v>
    <v>229.55</v>
    <v>235.48</v>
    <v>239.06</v>
    <v>240.7</v>
    <v>238.57</v>
    <v>238.81</v>
    <v>236.22</v>
    <v>240.9</v>
    <v>245.48</v>
    <v>229.33</v>
    <v>232.41</v>
    <v>236.16</v>
    <v>239.39</v>
    <v>241.82</v>
    <v>239.66</v>
    <v>245.55</v>
    <v>249.18</v>
    <v>249.12</v>
    <v>253.37</v>
    <v>254.14</v>
    <v>249.2</v>
    <v>253.69</v>
    <v>258.58999999999997</v>
    <v>257.82</v>
    <v>266.68</v>
    <v>266.76</v>
    <v>268.41000000000003</v>
    <v>266.95</v>
    <v>260.87</v>
    <v>258.37</v>
    <v>258.63</v>
    <v>263.23</v>
    <v>260.24</v>
    <v>258.69</v>
    <v>259.06</v>
    <v>263.89999999999998</v>
    <v>265.2</v>
    <v>265.52</v>
    <v>266.86</v>
    <v>268.87</v>
    <v>272.08</v>
    <v>276.24</v>
    <v>281.52</v>
    <v>281.02999999999997</v>
    <v>277.22000000000003</v>
    <v>281.83</v>
    <v>283.05</v>
    <v>283.20999999999998</v>
    <v>280.97000000000003</v>
    <v>289.18</v>
    <v>293.79000000000002</v>
    <v>291.06</v>
    <v>291.93</v>
    <v>289.7</v>
    <v>294.77999999999997</v>
    <v>291.2</v>
    <v>287.64999999999998</v>
    <v>291.97000000000003</v>
    <v>292.47000000000003</v>
    <v>290.42</v>
    <v>290.14</v>
    <v>287.43</v>
    <v>283.58999999999997</v>
    <v>283.79000000000002</v>
    <v>282.7</v>
    <v>281.92</v>
    <v>282</v>
    <v>285.87</v>
    <v>284.70999999999998</v>
    <v>281.95999999999998</v>
    <v>282.01</v>
    <v>260.51</v>
    <v>259.72000000000003</v>
    <v>263.20999999999998</v>
    <v>262.41000000000003</v>
    <v>260.26</v>
    <v>253.15</v>
    <v>250.05</v>
    <v>251.98</v>
    <v>250.67</v>
    <v>252.28</v>
    <v>250.16</v>
    <v>242.27</v>
    <v>236.3</v>
    <v>234.77</v>
    <v>240.07</v>
    <v>237.11</v>
    <v>239.72</v>
    <v>239.45</v>
    <v>241.28</v>
    <v>242.55</v>
    <v>239.4</v>
    <v>242.09</v>
    <v>239.43</v>
    <v>242.63</v>
    <v>244.84</v>
    <v>245.73</v>
    <v>243.49</v>
    <v>241.5</v>
    <v>244.1</v>
    <v>247.18</v>
    <v>248.53</v>
    <v>256.08999999999997</v>
    <v>259.11</v>
    <v>256.88</v>
    <v>257.01</v>
    <v>253.44</v>
    <v>256.24</v>
    <v>257.52</v>
    <v>259.08</v>
    <v>265</v>
    <v>266.39999999999998</v>
    <v>271.37</v>
    <v>272.24</v>
    <v>267.52999999999997</v>
    <v>281.44</v>
    <v>284.31</v>
    <v>279.8</v>
    <v>282.16000000000003</v>
    <v>286.49</v>
    <v>286.72000000000003</v>
    <v>288.37</v>
    <v>289.42</v>
    <v>293.87</v>
    <v>289.45999999999998</v>
    <v>288.23</v>
    <v>277.82</v>
    <v>277.22000000000003</v>
    <v>276.14999999999998</v>
    <v>280.75</v>
    <v>275.97000000000003</v>
    <v>281.27999999999997</v>
    <v>283.64999999999998</v>
    <v>282.05</v>
    <v>287.51</v>
    <v>285</v>
    <v>307.45999999999998</v>
    <v>313.08999999999997</v>
    <v>312.57</v>
    <v>308.20999999999998</v>
    <v>310.06</v>
    <v>307.41000000000003</v>
    <v>304.73</v>
    <v>300.85000000000002</v>
    <v>306.77</v>
    <v>312.42</v>
    <v>306.38</v>
    <v>309.13</v>
  </a>
  <a r="1" c="215">
    <v>221.82</v>
    <v>220.55</v>
    <v>223</v>
    <v>223.35</v>
    <v>223.91</v>
    <v>222</v>
    <v>217.89</v>
    <v>218</v>
    <v>220.87</v>
    <v>219.69</v>
    <v>225.95500000000001</v>
    <v>224.99</v>
    <v>221.98</v>
    <v>223.94</v>
    <v>225.27</v>
    <v>222.19</v>
    <v>224.32</v>
    <v>225.62</v>
    <v>250</v>
    <v>256.05</v>
    <v>252.4</v>
    <v>260</v>
    <v>265.70999999999998</v>
    <v>262.98</v>
    <v>255.28</v>
    <v>250.86</v>
    <v>251.1</v>
    <v>252.72</v>
    <v>255.66</v>
    <v>259</v>
    <v>261.93</v>
    <v>262</v>
    <v>263.64999999999998</v>
    <v>263.84500000000003</v>
    <v>261.5</v>
    <v>261.08</v>
    <v>258.10000000000002</v>
    <v>255.22</v>
    <v>250.85499999999999</v>
    <v>254.73500000000001</v>
    <v>248.75</v>
    <v>251.58</v>
    <v>249.75</v>
    <v>245.95</v>
    <v>261.56</v>
    <v>255.99</v>
    <v>250.35</v>
    <v>248.8</v>
    <v>242.745</v>
    <v>249.25</v>
    <v>252.51</v>
    <v>248.33</v>
    <v>244.24</v>
    <v>241.69</v>
    <v>247.31</v>
    <v>248.36</v>
    <v>251.25</v>
    <v>249.71</v>
    <v>246.27</v>
    <v>242.74</v>
    <v>248.03</v>
    <v>248.22</v>
    <v>242.71</v>
    <v>238</v>
    <v>219.24</v>
    <v>232.56</v>
    <v>217.12</v>
    <v>231</v>
    <v>229.72</v>
    <v>239.77</v>
    <v>239.55</v>
    <v>240.28</v>
    <v>239.68</v>
    <v>238.065</v>
    <v>238.5</v>
    <v>246</v>
    <v>231.17500000000001</v>
    <v>228.95</v>
    <v>232.86</v>
    <v>237</v>
    <v>236.73</v>
    <v>241.44</v>
    <v>243.125</v>
    <v>243.74</v>
    <v>247.76</v>
    <v>249.45</v>
    <v>255</v>
    <v>252.51</v>
    <v>252.5</v>
    <v>254.43</v>
    <v>257.60000000000002</v>
    <v>259.01</v>
    <v>266.35000000000002</v>
    <v>265.45</v>
    <v>267.39999999999998</v>
    <v>264.97000000000003</v>
    <v>260.77</v>
    <v>258.58</v>
    <v>261</v>
    <v>263.16000000000003</v>
    <v>260.75</v>
    <v>258.75</v>
    <v>257.85000000000002</v>
    <v>263.35000000000002</v>
    <v>264.89999999999998</v>
    <v>265.2</v>
    <v>267.99</v>
    <v>268.10000000000002</v>
    <v>273.19</v>
    <v>276.7</v>
    <v>281.52999999999997</v>
    <v>278.20499999999998</v>
    <v>279.30500000000001</v>
    <v>281.14999999999998</v>
    <v>285</v>
    <v>279.27999999999997</v>
    <v>281.64999999999998</v>
    <v>290.45999999999998</v>
    <v>294.49</v>
    <v>291.8</v>
    <v>292.97000000000003</v>
    <v>290.93</v>
    <v>294.55</v>
    <v>290</v>
    <v>287.94</v>
    <v>292.5</v>
    <v>293.10000000000002</v>
    <v>291.39</v>
    <v>288.89999999999998</v>
    <v>285.01</v>
    <v>282.83</v>
    <v>283.77</v>
    <v>282.75</v>
    <v>281.5</v>
    <v>283.38</v>
    <v>286.29000000000002</v>
    <v>284.74</v>
    <v>284.3</v>
    <v>261.25</v>
    <v>260.02</v>
    <v>260.3</v>
    <v>264.3</v>
    <v>261.60000000000002</v>
    <v>259.57</v>
    <v>251.405</v>
    <v>251.05</v>
    <v>252</v>
    <v>251.53</v>
    <v>252.81</v>
    <v>248.88</v>
    <v>242.24</v>
    <v>236.53</v>
    <v>236.2</v>
    <v>238.25</v>
    <v>237.61</v>
    <v>239.57</v>
    <v>240</v>
    <v>242.11</v>
    <v>242.21</v>
    <v>240.74</v>
    <v>242.565</v>
    <v>241.02</v>
    <v>242.87</v>
    <v>245.43</v>
    <v>245.23</v>
    <v>240.9</v>
    <v>240.02</v>
    <v>245.42</v>
    <v>248.23</v>
    <v>248.63</v>
    <v>256.12</v>
    <v>259.64999999999998</v>
    <v>257.56</v>
    <v>256.95</v>
    <v>254.02</v>
    <v>256.26</v>
    <v>257.495</v>
    <v>258.86</v>
    <v>266.05</v>
    <v>266.62</v>
    <v>272.7</v>
    <v>272.62</v>
    <v>272.935</v>
    <v>280.51</v>
    <v>286</v>
    <v>280.88</v>
    <v>280.2</v>
    <v>285.79000000000002</v>
    <v>287.5</v>
    <v>288.61</v>
    <v>295.55</v>
    <v>294.16000000000003</v>
    <v>289.82</v>
    <v>288.97000000000003</v>
    <v>279.79000000000002</v>
    <v>275.52</v>
    <v>278.38</v>
    <v>281.11</v>
    <v>276.14999999999998</v>
    <v>281.25</v>
    <v>283.31</v>
    <v>281.99</v>
    <v>264.95</v>
    <v>283.77</v>
    <v>307.8</v>
    <v>312.60000000000002</v>
    <v>312.79000000000002</v>
    <v>306.64999999999998</v>
    <v>312</v>
    <v>308</v>
    <v>300</v>
    <v>301.38</v>
    <v>306.75</v>
    <v>309.68</v>
    <v>306.82</v>
  </a>
  <a r="1" c="215">
    <v>222.49</v>
    <v>223.66</v>
    <v>224.35</v>
    <v>226.71100000000001</v>
    <v>224.9</v>
    <v>222.43</v>
    <v>219.59</v>
    <v>218.125</v>
    <v>221.67609999999999</v>
    <v>222.68</v>
    <v>225.95500000000001</v>
    <v>227.45</v>
    <v>224.4</v>
    <v>226.04</v>
    <v>226.81039999999999</v>
    <v>224.3</v>
    <v>225.77</v>
    <v>229.47</v>
    <v>261.8</v>
    <v>257.23500000000001</v>
    <v>262.06</v>
    <v>265.25</v>
    <v>265.72000000000003</v>
    <v>263.38</v>
    <v>256.93</v>
    <v>251.95</v>
    <v>256.75</v>
    <v>256.39999999999998</v>
    <v>259.27999999999997</v>
    <v>261.94</v>
    <v>263.96499999999997</v>
    <v>264.36</v>
    <v>265.08999999999997</v>
    <v>264.83</v>
    <v>263.84500000000003</v>
    <v>263.48</v>
    <v>258.32499999999999</v>
    <v>257.63</v>
    <v>252.8099</v>
    <v>255.99</v>
    <v>255.48</v>
    <v>252.74</v>
    <v>252.1</v>
    <v>261.95999999999998</v>
    <v>266.45</v>
    <v>256.7</v>
    <v>253.12729999999999</v>
    <v>249.27</v>
    <v>248.94990000000001</v>
    <v>254.63</v>
    <v>252.57</v>
    <v>253.66</v>
    <v>246.8</v>
    <v>245.20500000000001</v>
    <v>248.82</v>
    <v>250.9</v>
    <v>254.32</v>
    <v>250.3</v>
    <v>247.57</v>
    <v>250.89</v>
    <v>250.62</v>
    <v>252.79</v>
    <v>250.61</v>
    <v>240.16</v>
    <v>232.29</v>
    <v>233.05</v>
    <v>236.3</v>
    <v>232.57</v>
    <v>237.58</v>
    <v>241.77</v>
    <v>241.53</v>
    <v>243.29990000000001</v>
    <v>241.77500000000001</v>
    <v>240.80500000000001</v>
    <v>242.64</v>
    <v>249.34</v>
    <v>232.78</v>
    <v>233.36</v>
    <v>236.63</v>
    <v>239.98</v>
    <v>242.47</v>
    <v>242.37</v>
    <v>245.69</v>
    <v>249.8</v>
    <v>250.19</v>
    <v>254.47</v>
    <v>256.52</v>
    <v>253</v>
    <v>253.81</v>
    <v>259.58</v>
    <v>260.55</v>
    <v>267.43</v>
    <v>267.98</v>
    <v>269.13499999999999</v>
    <v>269.27999999999997</v>
    <v>265.6499</v>
    <v>261.27109999999999</v>
    <v>259.86959999999999</v>
    <v>263.7869</v>
    <v>265</v>
    <v>261.13</v>
    <v>260.12</v>
    <v>263.976</v>
    <v>265.56</v>
    <v>267</v>
    <v>267.51</v>
    <v>270.17</v>
    <v>273.47000000000003</v>
    <v>277.47000000000003</v>
    <v>281.75</v>
    <v>283.06</v>
    <v>279.83999999999997</v>
    <v>284.5</v>
    <v>284.78989999999999</v>
    <v>286.91000000000003</v>
    <v>284.12</v>
    <v>289.58</v>
    <v>294.3399</v>
    <v>296.16000000000003</v>
    <v>292.91000000000003</v>
    <v>293.12</v>
    <v>294.81</v>
    <v>295.10809999999998</v>
    <v>290.19</v>
    <v>292.32</v>
    <v>295.2199</v>
    <v>295.61</v>
    <v>291.60000000000002</v>
    <v>288.89999999999998</v>
    <v>287.43</v>
    <v>284.92500000000001</v>
    <v>284.15499999999997</v>
    <v>283.87</v>
    <v>283.45659999999998</v>
    <v>287.16000000000003</v>
    <v>287.73</v>
    <v>284.88</v>
    <v>288.08</v>
    <v>262.04860000000002</v>
    <v>260.8</v>
    <v>264</v>
    <v>265.79989999999998</v>
    <v>262</v>
    <v>259.99</v>
    <v>251.47909999999999</v>
    <v>252.08</v>
    <v>252.8</v>
    <v>254.32</v>
    <v>255</v>
    <v>249.48</v>
    <v>243.15</v>
    <v>237.96</v>
    <v>240.84110000000001</v>
    <v>239</v>
    <v>240.62</v>
    <v>241.42</v>
    <v>242.83</v>
    <v>242.88</v>
    <v>242.5</v>
    <v>243.68</v>
    <v>242.565</v>
    <v>244.98</v>
    <v>245.96</v>
    <v>245.88</v>
    <v>245.4599</v>
    <v>241.55</v>
    <v>244.25</v>
    <v>249.28</v>
    <v>249.03</v>
    <v>257.14999999999998</v>
    <v>260.66000000000003</v>
    <v>260.08</v>
    <v>258.54500000000002</v>
    <v>257.25</v>
    <v>259.05</v>
    <v>258</v>
    <v>260.96440000000001</v>
    <v>265.23</v>
    <v>267.87</v>
    <v>272.31</v>
    <v>273.2962</v>
    <v>273.6499</v>
    <v>284.23</v>
    <v>288.85000000000002</v>
    <v>286</v>
    <v>286.02499999999998</v>
    <v>286.58999999999997</v>
    <v>288.54000000000002</v>
    <v>293.32</v>
    <v>291.45</v>
    <v>301.04250000000002</v>
    <v>294.2</v>
    <v>290.13</v>
    <v>290.38499999999999</v>
    <v>282.43990000000002</v>
    <v>277.52999999999997</v>
    <v>285.45</v>
    <v>282.56</v>
    <v>283.39999999999998</v>
    <v>285.5</v>
    <v>285.31</v>
    <v>289.17</v>
    <v>285.57909999999998</v>
    <v>310.75</v>
    <v>313.5</v>
    <v>319.35000000000002</v>
    <v>314.33</v>
    <v>313.75</v>
    <v>313.5</v>
    <v>312.14109999999999</v>
    <v>303.17</v>
    <v>307.2</v>
    <v>315.44</v>
    <v>310</v>
    <v>309.94</v>
  </a>
  <a r="1" c="215">
    <v>217.6</v>
    <v>220.55</v>
    <v>220.75</v>
    <v>222.83</v>
    <v>220.83</v>
    <v>216.8</v>
    <v>214.75</v>
    <v>214.61</v>
    <v>218.01</v>
    <v>217.38</v>
    <v>223.64</v>
    <v>222.83019999999999</v>
    <v>220.35</v>
    <v>223.15</v>
    <v>223.8</v>
    <v>219.84</v>
    <v>221.77</v>
    <v>223.73</v>
    <v>247.01</v>
    <v>251.89</v>
    <v>251.84</v>
    <v>258.12329999999997</v>
    <v>261.18</v>
    <v>252.73</v>
    <v>252.02</v>
    <v>246.87</v>
    <v>250.58</v>
    <v>252.02</v>
    <v>254.41</v>
    <v>257.91000000000003</v>
    <v>259.83</v>
    <v>260.08999999999997</v>
    <v>262.14999999999998</v>
    <v>261.10000000000002</v>
    <v>259.58</v>
    <v>256.77</v>
    <v>254.41040000000001</v>
    <v>253.05</v>
    <v>246.54</v>
    <v>248.245</v>
    <v>248.1</v>
    <v>247.0146</v>
    <v>246.80189999999999</v>
    <v>245.1823</v>
    <v>254.7474</v>
    <v>245.86</v>
    <v>245.53</v>
    <v>243.04</v>
    <v>241.68</v>
    <v>249</v>
    <v>245.12</v>
    <v>246.64</v>
    <v>237.22399999999999</v>
    <v>238.5</v>
    <v>245.965</v>
    <v>248.2</v>
    <v>249.53</v>
    <v>245.72499999999999</v>
    <v>242.07</v>
    <v>242.49</v>
    <v>243.49</v>
    <v>247.23</v>
    <v>242.53</v>
    <v>226.88</v>
    <v>214.5</v>
    <v>217.28</v>
    <v>215.1636</v>
    <v>222.02</v>
    <v>227.51</v>
    <v>236.73</v>
    <v>238.27</v>
    <v>235.89</v>
    <v>237.4</v>
    <v>232.93</v>
    <v>238.02</v>
    <v>243.66</v>
    <v>224.4401</v>
    <v>226.32</v>
    <v>232.07</v>
    <v>236.14</v>
    <v>234.34010000000001</v>
    <v>237.94499999999999</v>
    <v>241.33</v>
    <v>243.64</v>
    <v>246.11</v>
    <v>248.83199999999999</v>
    <v>253.25</v>
    <v>247.64</v>
    <v>244.65</v>
    <v>252.88</v>
    <v>256.22000000000003</v>
    <v>258.61</v>
    <v>264.58999999999997</v>
    <v>265.08</v>
    <v>265.62009999999998</v>
    <v>260.41000000000003</v>
    <v>257.91000000000003</v>
    <v>255.79</v>
    <v>259.63</v>
    <v>259.94</v>
    <v>256.77</v>
    <v>257.10000000000002</v>
    <v>257.22000000000003</v>
    <v>262.58</v>
    <v>264.79000000000002</v>
    <v>265.10000000000002</v>
    <v>267.52999999999997</v>
    <v>266.70999999999998</v>
    <v>272.56</v>
    <v>275.11</v>
    <v>279.83</v>
    <v>275.83</v>
    <v>278.66570000000002</v>
    <v>281.00009999999997</v>
    <v>282.94</v>
    <v>277.2</v>
    <v>280.20999999999998</v>
    <v>288.41000000000003</v>
    <v>289.5</v>
    <v>290.16500000000002</v>
    <v>288.52</v>
    <v>290</v>
    <v>290.08</v>
    <v>286.89999999999998</v>
    <v>287.89999999999998</v>
    <v>290.36070000000001</v>
    <v>289.49</v>
    <v>288.63</v>
    <v>282.20999999999998</v>
    <v>282.92</v>
    <v>281.70999999999998</v>
    <v>280.73009999999999</v>
    <v>279.87</v>
    <v>280.89999999999998</v>
    <v>282.22000000000003</v>
    <v>284.38</v>
    <v>281.25</v>
    <v>281.44</v>
    <v>252.75</v>
    <v>256.35000000000002</v>
    <v>259.61</v>
    <v>261.02</v>
    <v>258.89999999999998</v>
    <v>252.22</v>
    <v>245.61</v>
    <v>248.11</v>
    <v>248.995</v>
    <v>249.28</v>
    <v>248.875</v>
    <v>241.65</v>
    <v>234.7</v>
    <v>233.36</v>
    <v>236.2</v>
    <v>235.62</v>
    <v>236.77</v>
    <v>239.11580000000001</v>
    <v>239.49</v>
    <v>240.34</v>
    <v>238.65</v>
    <v>240.22</v>
    <v>239.43</v>
    <v>240.38</v>
    <v>242</v>
    <v>243.36</v>
    <v>241.72</v>
    <v>238.25</v>
    <v>239.41</v>
    <v>242.85</v>
    <v>245.45</v>
    <v>247.02</v>
    <v>254.88</v>
    <v>254.56</v>
    <v>255.655</v>
    <v>252.42500000000001</v>
    <v>254</v>
    <v>254.41</v>
    <v>257.01</v>
    <v>256.80040000000002</v>
    <v>263.64</v>
    <v>266</v>
    <v>269.26499999999999</v>
    <v>267.3</v>
    <v>271.14800000000002</v>
    <v>280.11</v>
    <v>279.66000000000003</v>
    <v>280.52</v>
    <v>280.14999999999998</v>
    <v>282.79000000000002</v>
    <v>287.3</v>
    <v>287.8</v>
    <v>293.28500000000003</v>
    <v>286.47300000000001</v>
    <v>283.32</v>
    <v>277.5</v>
    <v>274.64</v>
    <v>272.54689999999999</v>
    <v>277</v>
    <v>275.60000000000002</v>
    <v>275.35000000000002</v>
    <v>280.95999999999998</v>
    <v>281.60000000000002</v>
    <v>281.35000000000002</v>
    <v>263.56229999999999</v>
    <v>282.20999999999998</v>
    <v>302.88</v>
    <v>311.41000000000003</v>
    <v>307.52</v>
    <v>305.02</v>
    <v>301.63</v>
    <v>304.23</v>
    <v>296</v>
    <v>299.70999999999998</v>
    <v>301.08999999999997</v>
    <v>302.63010000000003</v>
    <v>304.23</v>
  </a>
  <a r="1" c="215">
    <v>2579498</v>
    <v>3873578</v>
    <v>2847128</v>
    <v>3299701</v>
    <v>2619768</v>
    <v>3570497</v>
    <v>3716816</v>
    <v>3485829</v>
    <v>2951825</v>
    <v>3329060</v>
    <v>5506837</v>
    <v>3982203</v>
    <v>4759490</v>
    <v>3619651</v>
    <v>3233293</v>
    <v>4898355</v>
    <v>4485429</v>
    <v>7079804</v>
    <v>15381890</v>
    <v>7203519</v>
    <v>8408523</v>
    <v>6077652</v>
    <v>6165096</v>
    <v>6128293</v>
    <v>3370284</v>
    <v>3564400</v>
    <v>4801550</v>
    <v>3075308</v>
    <v>4531538</v>
    <v>3925277</v>
    <v>4262812</v>
    <v>3718678</v>
    <v>4884805</v>
    <v>5667874</v>
    <v>4398107</v>
    <v>6292487</v>
    <v>3460124</v>
    <v>3402234</v>
    <v>7988809</v>
    <v>2977699</v>
    <v>5342106</v>
    <v>4009813</v>
    <v>3254358</v>
    <v>6700184</v>
    <v>8165503</v>
    <v>5630570</v>
    <v>3849206</v>
    <v>3862416</v>
    <v>4045284</v>
    <v>3234149</v>
    <v>4172239</v>
    <v>3853598</v>
    <v>7026796</v>
    <v>9580084</v>
    <v>4753331</v>
    <v>3133809</v>
    <v>4452220</v>
    <v>2889328</v>
    <v>3125594</v>
    <v>6794972</v>
    <v>4413139</v>
    <v>4080832</v>
    <v>5309626</v>
    <v>7407096</v>
    <v>7797889</v>
    <v>6849996</v>
    <v>7302808</v>
    <v>5656108</v>
    <v>4325895</v>
    <v>3321717</v>
    <v>3363708</v>
    <v>4870299</v>
    <v>4635204</v>
    <v>4908923</v>
    <v>4232658</v>
    <v>7948259</v>
    <v>15428144</v>
    <v>6700068</v>
    <v>3653461</v>
    <v>3426508</v>
    <v>5142993</v>
    <v>4243294</v>
    <v>3731946</v>
    <v>4138168</v>
    <v>2900556</v>
    <v>3400001</v>
    <v>3637012</v>
    <v>2901346</v>
    <v>4609520</v>
    <v>3521389</v>
    <v>3635124</v>
    <v>4856276</v>
    <v>3817937</v>
    <v>3198903</v>
    <v>2437860</v>
    <v>3753904</v>
    <v>3091253</v>
    <v>2722721</v>
    <v>3284216</v>
    <v>2318437</v>
    <v>2295228</v>
    <v>9668923</v>
    <v>2831881</v>
    <v>2494922</v>
    <v>2588741</v>
    <v>2659478</v>
    <v>2495543</v>
    <v>4331464</v>
    <v>5163507</v>
    <v>4656034</v>
    <v>3418007</v>
    <v>3243824</v>
    <v>3685321</v>
    <v>3069556</v>
    <v>3534110</v>
    <v>7676962</v>
    <v>3786159</v>
    <v>4219120</v>
    <v>3862309</v>
    <v>3621110</v>
    <v>3562501</v>
    <v>3495386</v>
    <v>3272797</v>
    <v>3257515</v>
    <v>1853289</v>
    <v>4488064</v>
    <v>2925329</v>
    <v>2971309</v>
    <v>3489068</v>
    <v>3790679</v>
    <v>2857401</v>
    <v>2864106</v>
    <v>2804831</v>
    <v>3337168</v>
    <v>4478165</v>
    <v>3051791</v>
    <v>4824219</v>
    <v>8105906</v>
    <v>22647720</v>
    <v>7758653</v>
    <v>5192516</v>
    <v>4627265</v>
    <v>3718290</v>
    <v>6739092</v>
    <v>9683404</v>
    <v>5280588</v>
    <v>5823016</v>
    <v>3692105</v>
    <v>6251285</v>
    <v>6828390</v>
    <v>9381960</v>
    <v>8800597</v>
    <v>5663562</v>
    <v>4556725</v>
    <v>4344322</v>
    <v>3569594</v>
    <v>3328305</v>
    <v>3240064</v>
    <v>2991902</v>
    <v>3134882</v>
    <v>3513327</v>
    <v>5386582</v>
    <v>3698372</v>
    <v>2820817</v>
    <v>2967558</v>
    <v>3469501</v>
    <v>3163225</v>
    <v>4765087</v>
    <v>3147478</v>
    <v>6940270</v>
    <v>4931105</v>
    <v>5185420</v>
    <v>3576048</v>
    <v>3433300</v>
    <v>4028365</v>
    <v>2719918</v>
    <v>3974785</v>
    <v>4988421</v>
    <v>9858112</v>
    <v>5030540</v>
    <v>5394121</v>
    <v>3159924</v>
    <v>11506192</v>
    <v>9063938</v>
    <v>6022125</v>
    <v>5926924</v>
    <v>4381338</v>
    <v>3814232</v>
    <v>4375082</v>
    <v>2881947</v>
    <v>7190126</v>
    <v>5297030</v>
    <v>4912375</v>
    <v>4508506</v>
    <v>4333836</v>
    <v>3058149</v>
    <v>3346753</v>
    <v>2956923</v>
    <v>5309565</v>
    <v>3494336</v>
    <v>4080981</v>
    <v>10538480</v>
    <v>16676394</v>
    <v>16914243</v>
    <v>9868151</v>
    <v>6044770</v>
    <v>4135948</v>
    <v>4694275</v>
    <v>7697499</v>
    <v>4957958</v>
    <v>5677330</v>
    <v>4650368</v>
    <v>6818521</v>
    <v>5070773</v>
    <v>2975188</v>
  </a>
</arrayData>
</file>

<file path=xl/richData/rdrichvalue.xml><?xml version="1.0" encoding="utf-8"?>
<rvData xmlns="http://schemas.microsoft.com/office/spreadsheetml/2017/richdata" count="1244">
  <rv s="0">
    <fb>45659</fb>
    <v>0</v>
  </rv>
  <rv s="0">
    <fb>219.94</fb>
    <v>1</v>
  </rv>
  <rv s="0">
    <fb>221.82</fb>
    <v>1</v>
  </rv>
  <rv s="0">
    <fb>222.49</fb>
    <v>1</v>
  </rv>
  <rv s="0">
    <fb>217.6</fb>
    <v>1</v>
  </rv>
  <rv s="0">
    <fb>2579498</fb>
    <v>2</v>
  </rv>
  <rv s="0">
    <fb>45660</fb>
    <v>0</v>
  </rv>
  <rv s="0">
    <fb>222.65</fb>
    <v>1</v>
  </rv>
  <rv s="0">
    <fb>220.55</fb>
    <v>1</v>
  </rv>
  <rv s="0">
    <fb>223.66</fb>
    <v>1</v>
  </rv>
  <rv s="0">
    <fb>3873578</fb>
    <v>2</v>
  </rv>
  <rv s="0">
    <fb>45663</fb>
    <v>0</v>
  </rv>
  <rv s="0">
    <fb>222.67</fb>
    <v>1</v>
  </rv>
  <rv s="0">
    <fb>223</fb>
    <v>1</v>
  </rv>
  <rv s="0">
    <fb>224.35</fb>
    <v>1</v>
  </rv>
  <rv s="0">
    <fb>220.75</fb>
    <v>1</v>
  </rv>
  <rv s="0">
    <fb>2847128</fb>
    <v>2</v>
  </rv>
  <rv s="0">
    <fb>45664</fb>
    <v>0</v>
  </rv>
  <rv s="0">
    <fb>223.96</fb>
    <v>1</v>
  </rv>
  <rv s="0">
    <fb>223.35</fb>
    <v>1</v>
  </rv>
  <rv s="0">
    <fb>226.71100000000001</fb>
    <v>1</v>
  </rv>
  <rv s="0">
    <fb>222.83</fb>
    <v>1</v>
  </rv>
  <rv s="0">
    <fb>3299701</fb>
    <v>2</v>
  </rv>
  <rv s="0">
    <fb>45665</fb>
    <v>0</v>
  </rv>
  <rv s="0">
    <fb>223.18</fb>
    <v>1</v>
  </rv>
  <rv s="0">
    <fb>223.91</fb>
    <v>1</v>
  </rv>
  <rv s="0">
    <fb>224.9</fb>
    <v>1</v>
  </rv>
  <rv s="0">
    <fb>220.83</fb>
    <v>1</v>
  </rv>
  <rv s="0">
    <fb>2619768</fb>
    <v>2</v>
  </rv>
  <rv s="0">
    <fb>45667</fb>
    <v>0</v>
  </rv>
  <rv s="0">
    <fb>219.75</fb>
    <v>1</v>
  </rv>
  <rv s="0">
    <fb>222</fb>
    <v>1</v>
  </rv>
  <rv s="0">
    <fb>222.43</fb>
    <v>1</v>
  </rv>
  <rv s="0">
    <fb>216.8</fb>
    <v>1</v>
  </rv>
  <rv s="0">
    <fb>3570497</fb>
    <v>2</v>
  </rv>
  <rv s="0">
    <fb>45670</fb>
    <v>0</v>
  </rv>
  <rv s="0">
    <fb>217.4</fb>
    <v>1</v>
  </rv>
  <rv s="0">
    <fb>217.89</fb>
    <v>1</v>
  </rv>
  <rv s="0">
    <fb>219.59</fb>
    <v>1</v>
  </rv>
  <rv s="0">
    <fb>214.75</fb>
    <v>1</v>
  </rv>
  <rv s="0">
    <fb>3716816</fb>
    <v>2</v>
  </rv>
  <rv s="0">
    <fb>45671</fb>
    <v>0</v>
  </rv>
  <rv s="0">
    <fb>217.75</fb>
    <v>1</v>
  </rv>
  <rv s="0">
    <fb>218</fb>
    <v>1</v>
  </rv>
  <rv s="0">
    <fb>218.125</fb>
    <v>1</v>
  </rv>
  <rv s="0">
    <fb>214.61</fb>
    <v>1</v>
  </rv>
  <rv s="0">
    <fb>3485829</fb>
    <v>2</v>
  </rv>
  <rv s="0">
    <fb>45672</fb>
    <v>0</v>
  </rv>
  <rv s="0">
    <fb>220.03</fb>
    <v>1</v>
  </rv>
  <rv s="0">
    <fb>220.87</fb>
    <v>1</v>
  </rv>
  <rv s="0">
    <fb>221.67609999999999</fb>
    <v>1</v>
  </rv>
  <rv s="0">
    <fb>218.01</fb>
    <v>1</v>
  </rv>
  <rv s="0">
    <fb>2951825</fb>
    <v>2</v>
  </rv>
  <rv s="0">
    <fb>45673</fb>
    <v>0</v>
  </rv>
  <rv s="0">
    <fb>222.66</fb>
    <v>1</v>
  </rv>
  <rv s="0">
    <fb>219.69</fb>
    <v>1</v>
  </rv>
  <rv s="0">
    <fb>222.68</fb>
    <v>1</v>
  </rv>
  <rv s="0">
    <fb>217.38</fb>
    <v>1</v>
  </rv>
  <rv s="0">
    <fb>3329060</fb>
    <v>2</v>
  </rv>
  <rv s="0">
    <fb>45674</fb>
    <v>0</v>
  </rv>
  <rv s="0">
    <fb>224.79</fb>
    <v>1</v>
  </rv>
  <rv s="0">
    <fb>225.95500000000001</fb>
    <v>1</v>
  </rv>
  <rv s="0">
    <fb>223.64</fb>
    <v>1</v>
  </rv>
  <rv s="0">
    <fb>5506837</fb>
    <v>2</v>
  </rv>
  <rv s="0">
    <fb>45678</fb>
    <v>0</v>
  </rv>
  <rv s="0">
    <fb>224.26</fb>
    <v>1</v>
  </rv>
  <rv s="0">
    <fb>224.99</fb>
    <v>1</v>
  </rv>
  <rv s="0">
    <fb>227.45</fb>
    <v>1</v>
  </rv>
  <rv s="0">
    <fb>222.83019999999999</fb>
    <v>1</v>
  </rv>
  <rv s="0">
    <fb>3982203</fb>
    <v>2</v>
  </rv>
  <rv s="0">
    <fb>45679</fb>
    <v>0</v>
  </rv>
  <rv s="0">
    <fb>223.26</fb>
    <v>1</v>
  </rv>
  <rv s="0">
    <fb>221.98</fb>
    <v>1</v>
  </rv>
  <rv s="0">
    <fb>224.4</fb>
    <v>1</v>
  </rv>
  <rv s="0">
    <fb>220.35</fb>
    <v>1</v>
  </rv>
  <rv s="0">
    <fb>4759490</fb>
    <v>2</v>
  </rv>
  <rv s="0">
    <fb>45680</fb>
    <v>0</v>
  </rv>
  <rv s="0">
    <fb>226.04</fb>
    <v>1</v>
  </rv>
  <rv s="0">
    <fb>223.94</fb>
    <v>1</v>
  </rv>
  <rv s="0">
    <fb>223.15</fb>
    <v>1</v>
  </rv>
  <rv s="0">
    <fb>3619651</fb>
    <v>2</v>
  </rv>
  <rv s="0">
    <fb>45681</fb>
    <v>0</v>
  </rv>
  <rv s="0">
    <fb>224.8</fb>
    <v>1</v>
  </rv>
  <rv s="0">
    <fb>225.27</fb>
    <v>1</v>
  </rv>
  <rv s="0">
    <fb>226.81039999999999</fb>
    <v>1</v>
  </rv>
  <rv s="0">
    <fb>223.8</fb>
    <v>1</v>
  </rv>
  <rv s="0">
    <fb>3233293</fb>
    <v>2</v>
  </rv>
  <rv s="0">
    <fb>45684</fb>
    <v>0</v>
  </rv>
  <rv s="0">
    <fb>224.13</fb>
    <v>1</v>
  </rv>
  <rv s="0">
    <fb>222.19</fb>
    <v>1</v>
  </rv>
  <rv s="0">
    <fb>224.3</fb>
    <v>1</v>
  </rv>
  <rv s="0">
    <fb>219.84</fb>
    <v>1</v>
  </rv>
  <rv s="0">
    <fb>4898355</fb>
    <v>2</v>
  </rv>
  <rv s="0">
    <fb>45685</fb>
    <v>0</v>
  </rv>
  <rv s="0">
    <fb>225.66</fb>
    <v>1</v>
  </rv>
  <rv s="0">
    <fb>224.32</fb>
    <v>1</v>
  </rv>
  <rv s="0">
    <fb>225.77</fb>
    <v>1</v>
  </rv>
  <rv s="0">
    <fb>221.77</fb>
    <v>1</v>
  </rv>
  <rv s="0">
    <fb>4485429</fb>
    <v>2</v>
  </rv>
  <rv s="0">
    <fb>45686</fb>
    <v>0</v>
  </rv>
  <rv s="0">
    <fb>228.63</fb>
    <v>1</v>
  </rv>
  <rv s="0">
    <fb>225.62</fb>
    <v>1</v>
  </rv>
  <rv s="0">
    <fb>229.47</fb>
    <v>1</v>
  </rv>
  <rv s="0">
    <fb>223.73</fb>
    <v>1</v>
  </rv>
  <rv s="0">
    <fb>7079804</fb>
    <v>2</v>
  </rv>
  <rv s="0">
    <fb>45687</fb>
    <v>0</v>
  </rv>
  <rv s="0">
    <fb>258.27</fb>
    <v>1</v>
  </rv>
  <rv s="0">
    <fb>250</fb>
    <v>1</v>
  </rv>
  <rv s="0">
    <fb>261.8</fb>
    <v>1</v>
  </rv>
  <rv s="0">
    <fb>247.01</fb>
    <v>1</v>
  </rv>
  <rv s="0">
    <fb>15381890</fb>
    <v>2</v>
  </rv>
  <rv s="0">
    <fb>45688</fb>
    <v>0</v>
  </rv>
  <rv s="0">
    <fb>255.7</fb>
    <v>1</v>
  </rv>
  <rv s="0">
    <fb>256.05</fb>
    <v>1</v>
  </rv>
  <rv s="0">
    <fb>257.23500000000001</fb>
    <v>1</v>
  </rv>
  <rv s="0">
    <fb>251.89</fb>
    <v>1</v>
  </rv>
  <rv s="0">
    <fb>7203519</fb>
    <v>2</v>
  </rv>
  <rv s="0">
    <fb>45691</fb>
    <v>0</v>
  </rv>
  <rv s="0">
    <fb>260.73</fb>
    <v>1</v>
  </rv>
  <rv s="0">
    <fb>252.4</fb>
    <v>1</v>
  </rv>
  <rv s="0">
    <fb>262.06</fb>
    <v>1</v>
  </rv>
  <rv s="0">
    <fb>251.84</fb>
    <v>1</v>
  </rv>
  <rv s="0">
    <fb>8408523</fb>
    <v>2</v>
  </rv>
  <rv s="0">
    <fb>45692</fb>
    <v>0</v>
  </rv>
  <rv s="0">
    <fb>264.45999999999998</fb>
    <v>1</v>
  </rv>
  <rv s="0">
    <fb>260</fb>
    <v>1</v>
  </rv>
  <rv s="0">
    <fb>265.25</fb>
    <v>1</v>
  </rv>
  <rv s="0">
    <fb>258.12329999999997</fb>
    <v>1</v>
  </rv>
  <rv s="0">
    <fb>6077652</fb>
    <v>2</v>
  </rv>
  <rv s="0">
    <fb>45693</fb>
    <v>0</v>
  </rv>
  <rv s="0">
    <fb>263.3</fb>
    <v>1</v>
  </rv>
  <rv s="0">
    <fb>265.70999999999998</fb>
    <v>1</v>
  </rv>
  <rv s="0">
    <fb>265.72000000000003</fb>
    <v>1</v>
  </rv>
  <rv s="0">
    <fb>261.18</fb>
    <v>1</v>
  </rv>
  <rv s="0">
    <fb>6165096</fb>
    <v>2</v>
  </rv>
  <rv s="0">
    <fb>45694</fb>
    <v>0</v>
  </rv>
  <rv s="0">
    <fb>253.44</fb>
    <v>1</v>
  </rv>
  <rv s="0">
    <fb>262.98</fb>
    <v>1</v>
  </rv>
  <rv s="0">
    <fb>263.38</fb>
    <v>1</v>
  </rv>
  <rv s="0">
    <fb>252.73</fb>
    <v>1</v>
  </rv>
  <rv s="0">
    <fb>6128293</fb>
    <v>2</v>
  </rv>
  <rv s="0">
    <fb>45695</fb>
    <v>0</v>
  </rv>
  <rv s="0">
    <fb>252.34</fb>
    <v>1</v>
  </rv>
  <rv s="0">
    <fb>255.28</fb>
    <v>1</v>
  </rv>
  <rv s="0">
    <fb>256.93</fb>
    <v>1</v>
  </rv>
  <rv s="0">
    <fb>252.02</fb>
    <v>1</v>
  </rv>
  <rv s="0">
    <fb>3370284</fb>
    <v>2</v>
  </rv>
  <rv s="0">
    <fb>45698</fb>
    <v>0</v>
  </rv>
  <rv s="0">
    <fb>249.27</fb>
    <v>1</v>
  </rv>
  <rv s="0">
    <fb>250.86</fb>
    <v>1</v>
  </rv>
  <rv s="0">
    <fb>251.95</fb>
    <v>1</v>
  </rv>
  <rv s="0">
    <fb>246.87</fb>
    <v>1</v>
  </rv>
  <rv s="0">
    <fb>3564400</fb>
    <v>2</v>
  </rv>
  <rv s="0">
    <fb>45699</fb>
    <v>0</v>
  </rv>
  <rv s="0">
    <fb>254.7</fb>
    <v>1</v>
  </rv>
  <rv s="0">
    <fb>251.1</fb>
    <v>1</v>
  </rv>
  <rv s="0">
    <fb>256.75</fb>
    <v>1</v>
  </rv>
  <rv s="0">
    <fb>250.58</fb>
    <v>1</v>
  </rv>
  <rv s="0">
    <fb>4801550</fb>
    <v>2</v>
  </rv>
  <rv s="0">
    <fb>45700</fb>
    <v>0</v>
  </rv>
  <rv s="0">
    <fb>255.81</fb>
    <v>1</v>
  </rv>
  <rv s="0">
    <fb>252.72</fb>
    <v>1</v>
  </rv>
  <rv s="0">
    <fb>256.39999999999998</fb>
    <v>1</v>
  </rv>
  <rv s="0">
    <fb>3075308</fb>
    <v>2</v>
  </rv>
  <rv s="0">
    <fb>45701</fb>
    <v>0</v>
  </rv>
  <rv s="0">
    <fb>259.19</fb>
    <v>1</v>
  </rv>
  <rv s="0">
    <fb>255.66</fb>
    <v>1</v>
  </rv>
  <rv s="0">
    <fb>259.27999999999997</fb>
    <v>1</v>
  </rv>
  <rv s="0">
    <fb>254.41</fb>
    <v>1</v>
  </rv>
  <rv s="0">
    <fb>4531538</fb>
    <v>2</v>
  </rv>
  <rv s="0">
    <fb>45702</fb>
    <v>0</v>
  </rv>
  <rv s="0">
    <fb>261.27999999999997</fb>
    <v>1</v>
  </rv>
  <rv s="0">
    <fb>259</fb>
    <v>1</v>
  </rv>
  <rv s="0">
    <fb>261.94</fb>
    <v>1</v>
  </rv>
  <rv s="0">
    <fb>257.91000000000003</fb>
    <v>1</v>
  </rv>
  <rv s="0">
    <fb>3925277</fb>
    <v>2</v>
  </rv>
  <rv s="0">
    <fb>45706</fb>
    <v>0</v>
  </rv>
  <rv s="0">
    <fb>263.07</fb>
    <v>1</v>
  </rv>
  <rv s="0">
    <fb>261.93</fb>
    <v>1</v>
  </rv>
  <rv s="0">
    <fb>263.96499999999997</fb>
    <v>1</v>
  </rv>
  <rv s="0">
    <fb>259.83</fb>
    <v>1</v>
  </rv>
  <rv s="0">
    <fb>4262812</fb>
    <v>2</v>
  </rv>
  <rv s="0">
    <fb>45707</fb>
    <v>0</v>
  </rv>
  <rv s="0">
    <fb>264.32</fb>
    <v>1</v>
  </rv>
  <rv s="0">
    <fb>262</fb>
    <v>1</v>
  </rv>
  <rv s="0">
    <fb>264.36</fb>
    <v>1</v>
  </rv>
  <rv s="0">
    <fb>260.08999999999997</fb>
    <v>1</v>
  </rv>
  <rv s="0">
    <fb>3718678</fb>
    <v>2</v>
  </rv>
  <rv s="0">
    <fb>45708</fb>
    <v>0</v>
  </rv>
  <rv s="0">
    <fb>264.74</fb>
    <v>1</v>
  </rv>
  <rv s="0">
    <fb>263.64999999999998</fb>
    <v>1</v>
  </rv>
  <rv s="0">
    <fb>265.08999999999997</fb>
    <v>1</v>
  </rv>
  <rv s="0">
    <fb>262.14999999999998</fb>
    <v>1</v>
  </rv>
  <rv s="0">
    <fb>4884805</fb>
    <v>2</v>
  </rv>
  <rv s="0">
    <fb>45709</fb>
    <v>0</v>
  </rv>
  <rv s="0">
    <fb>261.48</fb>
    <v>1</v>
  </rv>
  <rv s="0">
    <fb>263.84500000000003</fb>
    <v>1</v>
  </rv>
  <rv s="0">
    <fb>264.83</fb>
    <v>1</v>
  </rv>
  <rv s="0">
    <fb>261.10000000000002</fb>
    <v>1</v>
  </rv>
  <rv s="0">
    <fb>5667874</fb>
    <v>2</v>
  </rv>
  <rv s="0">
    <fb>45712</fb>
    <v>0</v>
  </rv>
  <rv s="0">
    <fb>261.87</fb>
    <v>1</v>
  </rv>
  <rv s="0">
    <fb>261.5</fb>
    <v>1</v>
  </rv>
  <rv s="0">
    <fb>259.58</fb>
    <v>1</v>
  </rv>
  <rv s="0">
    <fb>4398107</fb>
    <v>2</v>
  </rv>
  <rv s="0">
    <fb>45713</fb>
    <v>0</v>
  </rv>
  <rv s="0">
    <fb>257.75</fb>
    <v>1</v>
  </rv>
  <rv s="0">
    <fb>261.08</fb>
    <v>1</v>
  </rv>
  <rv s="0">
    <fb>263.48</fb>
    <v>1</v>
  </rv>
  <rv s="0">
    <fb>256.77</fb>
    <v>1</v>
  </rv>
  <rv s="0">
    <fb>6292487</fb>
    <v>2</v>
  </rv>
  <rv s="0">
    <fb>45714</fb>
    <v>0</v>
  </rv>
  <rv s="0">
    <fb>255.84</fb>
    <v>1</v>
  </rv>
  <rv s="0">
    <fb>258.10000000000002</fb>
    <v>1</v>
  </rv>
  <rv s="0">
    <fb>258.32499999999999</fb>
    <v>1</v>
  </rv>
  <rv s="0">
    <fb>254.41040000000001</fb>
    <v>1</v>
  </rv>
  <rv s="0">
    <fb>3460124</fb>
    <v>2</v>
  </rv>
  <rv s="0">
    <fb>45715</fb>
    <v>0</v>
  </rv>
  <rv s="0">
    <fb>253.23</fb>
    <v>1</v>
  </rv>
  <rv s="0">
    <fb>255.22</fb>
    <v>1</v>
  </rv>
  <rv s="0">
    <fb>257.63</fb>
    <v>1</v>
  </rv>
  <rv s="0">
    <fb>253.05</fb>
    <v>1</v>
  </rv>
  <rv s="0">
    <fb>3402234</fb>
    <v>2</v>
  </rv>
  <rv s="0">
    <fb>45716</fb>
    <v>0</v>
  </rv>
  <rv s="0">
    <fb>252.44</fb>
    <v>1</v>
  </rv>
  <rv s="0">
    <fb>250.85499999999999</fb>
    <v>1</v>
  </rv>
  <rv s="0">
    <fb>252.8099</fb>
    <v>1</v>
  </rv>
  <rv s="0">
    <fb>246.54</fb>
    <v>1</v>
  </rv>
  <rv s="0">
    <fb>7988809</fb>
    <v>2</v>
  </rv>
  <rv s="0">
    <fb>45719</fb>
    <v>0</v>
  </rv>
  <rv s="0">
    <fb>250.19</fb>
    <v>1</v>
  </rv>
  <rv s="0">
    <fb>254.73500000000001</fb>
    <v>1</v>
  </rv>
  <rv s="0">
    <fb>255.99</fb>
    <v>1</v>
  </rv>
  <rv s="0">
    <fb>248.245</fb>
    <v>1</v>
  </rv>
  <rv s="0">
    <fb>2977699</fb>
    <v>2</v>
  </rv>
  <rv s="0">
    <fb>45720</fb>
    <v>0</v>
  </rv>
  <rv s="0">
    <fb>253.21</fb>
    <v>1</v>
  </rv>
  <rv s="0">
    <fb>248.75</fb>
    <v>1</v>
  </rv>
  <rv s="0">
    <fb>255.48</fb>
    <v>1</v>
  </rv>
  <rv s="0">
    <fb>248.1</fb>
    <v>1</v>
  </rv>
  <rv s="0">
    <fb>5342106</fb>
    <v>2</v>
  </rv>
  <rv s="0">
    <fb>45721</fb>
    <v>0</v>
  </rv>
  <rv s="0">
    <fb>251.35</fb>
    <v>1</v>
  </rv>
  <rv s="0">
    <fb>251.58</fb>
    <v>1</v>
  </rv>
  <rv s="0">
    <fb>252.74</fb>
    <v>1</v>
  </rv>
  <rv s="0">
    <fb>247.0146</fb>
    <v>1</v>
  </rv>
  <rv s="0">
    <fb>4009813</fb>
    <v>2</v>
  </rv>
  <rv s="0">
    <fb>45722</fb>
    <v>0</v>
  </rv>
  <rv s="0">
    <fb>248.69</fb>
    <v>1</v>
  </rv>
  <rv s="0">
    <fb>249.75</fb>
    <v>1</v>
  </rv>
  <rv s="0">
    <fb>252.1</fb>
    <v>1</v>
  </rv>
  <rv s="0">
    <fb>246.80189999999999</fb>
    <v>1</v>
  </rv>
  <rv s="0">
    <fb>3254358</fb>
    <v>2</v>
  </rv>
  <rv s="0">
    <fb>45723</fb>
    <v>0</v>
  </rv>
  <rv s="0">
    <fb>261.54000000000002</fb>
    <v>1</v>
  </rv>
  <rv s="0">
    <fb>245.95</fb>
    <v>1</v>
  </rv>
  <rv s="0">
    <fb>261.95999999999998</fb>
    <v>1</v>
  </rv>
  <rv s="0">
    <fb>245.1823</fb>
    <v>1</v>
  </rv>
  <rv s="0">
    <fb>6700184</fb>
    <v>2</v>
  </rv>
  <rv s="0">
    <fb>45726</fb>
    <v>0</v>
  </rv>
  <rv s="0">
    <fb>256.89999999999998</fb>
    <v>1</v>
  </rv>
  <rv s="0">
    <fb>261.56</fb>
    <v>1</v>
  </rv>
  <rv s="0">
    <fb>266.45</fb>
    <v>1</v>
  </rv>
  <rv s="0">
    <fb>254.7474</fb>
    <v>1</v>
  </rv>
  <rv s="0">
    <fb>8165503</fb>
    <v>2</v>
  </rv>
  <rv s="0">
    <fb>45727</fb>
    <v>0</v>
  </rv>
  <rv s="0">
    <fb>248.95</fb>
    <v>1</v>
  </rv>
  <rv s="0">
    <fb>256.7</fb>
    <v>1</v>
  </rv>
  <rv s="0">
    <fb>245.86</fb>
    <v>1</v>
  </rv>
  <rv s="0">
    <fb>5630570</fb>
    <v>2</v>
  </rv>
  <rv s="0">
    <fb>45728</fb>
    <v>0</v>
  </rv>
  <rv s="0">
    <fb>249.63</fb>
    <v>1</v>
  </rv>
  <rv s="0">
    <fb>250.35</fb>
    <v>1</v>
  </rv>
  <rv s="0">
    <fb>253.12729999999999</fb>
    <v>1</v>
  </rv>
  <rv s="0">
    <fb>245.53</fb>
    <v>1</v>
  </rv>
  <rv s="0">
    <fb>3849206</fb>
    <v>2</v>
  </rv>
  <rv s="0">
    <fb>45729</fb>
    <v>0</v>
  </rv>
  <rv s="0">
    <fb>245.8</fb>
    <v>1</v>
  </rv>
  <rv s="0">
    <fb>248.8</fb>
    <v>1</v>
  </rv>
  <rv s="0">
    <fb>243.04</fb>
    <v>1</v>
  </rv>
  <rv s="0">
    <fb>3862416</fb>
    <v>2</v>
  </rv>
  <rv s="0">
    <fb>45730</fb>
    <v>0</v>
  </rv>
  <rv s="0">
    <fb>248.35</fb>
    <v>1</v>
  </rv>
  <rv s="0">
    <fb>242.745</fb>
    <v>1</v>
  </rv>
  <rv s="0">
    <fb>248.94990000000001</fb>
    <v>1</v>
  </rv>
  <rv s="0">
    <fb>241.68</fb>
    <v>1</v>
  </rv>
  <rv s="0">
    <fb>4045284</fb>
    <v>2</v>
  </rv>
  <rv s="0">
    <fb>45733</fb>
    <v>0</v>
  </rv>
  <rv s="0">
    <fb>252.97</fb>
    <v>1</v>
  </rv>
  <rv s="0">
    <fb>249.25</fb>
    <v>1</v>
  </rv>
  <rv s="0">
    <fb>254.63</fb>
    <v>1</v>
  </rv>
  <rv s="0">
    <fb>249</fb>
    <v>1</v>
  </rv>
  <rv s="0">
    <fb>3234149</fb>
    <v>2</v>
  </rv>
  <rv s="0">
    <fb>45734</fb>
    <v>0</v>
  </rv>
  <rv s="0">
    <fb>246.95</fb>
    <v>1</v>
  </rv>
  <rv s="0">
    <fb>252.51</fb>
    <v>1</v>
  </rv>
  <rv s="0">
    <fb>252.57</fb>
    <v>1</v>
  </rv>
  <rv s="0">
    <fb>245.12</fb>
    <v>1</v>
  </rv>
  <rv s="0">
    <fb>4172239</fb>
    <v>2</v>
  </rv>
  <rv s="0">
    <fb>45735</fb>
    <v>0</v>
  </rv>
  <rv s="0">
    <fb>252.29</fb>
    <v>1</v>
  </rv>
  <rv s="0">
    <fb>248.33</fb>
    <v>1</v>
  </rv>
  <rv s="0">
    <fb>253.66</fb>
    <v>1</v>
  </rv>
  <rv s="0">
    <fb>246.64</fb>
    <v>1</v>
  </rv>
  <rv s="0">
    <fb>3853598</fb>
    <v>2</v>
  </rv>
  <rv s="0">
    <fb>45736</fb>
    <v>0</v>
  </rv>
  <rv s="0">
    <fb>243.32</fb>
    <v>1</v>
  </rv>
  <rv s="0">
    <fb>244.24</fb>
    <v>1</v>
  </rv>
  <rv s="0">
    <fb>246.8</fb>
    <v>1</v>
  </rv>
  <rv s="0">
    <fb>237.22399999999999</fb>
    <v>1</v>
  </rv>
  <rv s="0">
    <fb>7026796</fb>
    <v>2</v>
  </rv>
  <rv s="0">
    <fb>45737</fb>
    <v>0</v>
  </rv>
  <rv s="0">
    <fb>243.87</fb>
    <v>1</v>
  </rv>
  <rv s="0">
    <fb>241.69</fb>
    <v>1</v>
  </rv>
  <rv s="0">
    <fb>245.20500000000001</fb>
    <v>1</v>
  </rv>
  <rv s="0">
    <fb>238.5</fb>
    <v>1</v>
  </rv>
  <rv s="0">
    <fb>9580084</fb>
    <v>2</v>
  </rv>
  <rv s="0">
    <fb>45740</fb>
    <v>0</v>
  </rv>
  <rv s="0">
    <fb>248.45</fb>
    <v>1</v>
  </rv>
  <rv s="0">
    <fb>247.31</fb>
    <v>1</v>
  </rv>
  <rv s="0">
    <fb>248.82</fb>
    <v>1</v>
  </rv>
  <rv s="0">
    <fb>245.965</fb>
    <v>1</v>
  </rv>
  <rv s="0">
    <fb>4753331</fb>
    <v>2</v>
  </rv>
  <rv s="0">
    <fb>45741</fb>
    <v>0</v>
  </rv>
  <rv s="0">
    <fb>249.9</fb>
    <v>1</v>
  </rv>
  <rv s="0">
    <fb>248.36</fb>
    <v>1</v>
  </rv>
  <rv s="0">
    <fb>250.9</fb>
    <v>1</v>
  </rv>
  <rv s="0">
    <fb>248.2</fb>
    <v>1</v>
  </rv>
  <rv s="0">
    <fb>3133809</fb>
    <v>2</v>
  </rv>
  <rv s="0">
    <fb>45742</fb>
    <v>0</v>
  </rv>
  <rv s="0">
    <fb>250.34</fb>
    <v>1</v>
  </rv>
  <rv s="0">
    <fb>251.25</fb>
    <v>1</v>
  </rv>
  <rv s="0">
    <fb>254.32</fb>
    <v>1</v>
  </rv>
  <rv s="0">
    <fb>249.53</fb>
    <v>1</v>
  </rv>
  <rv s="0">
    <fb>4452220</fb>
    <v>2</v>
  </rv>
  <rv s="0">
    <fb>45743</fb>
    <v>0</v>
  </rv>
  <rv s="0">
    <fb>246.21</fb>
    <v>1</v>
  </rv>
  <rv s="0">
    <fb>249.71</fb>
    <v>1</v>
  </rv>
  <rv s="0">
    <fb>250.3</fb>
    <v>1</v>
  </rv>
  <rv s="0">
    <fb>245.72499999999999</fb>
    <v>1</v>
  </rv>
  <rv s="0">
    <fb>2889328</fb>
    <v>2</v>
  </rv>
  <rv s="0">
    <fb>45744</fb>
    <v>0</v>
  </rv>
  <rv s="0">
    <fb>244</fb>
    <v>1</v>
  </rv>
  <rv s="0">
    <fb>246.27</fb>
    <v>1</v>
  </rv>
  <rv s="0">
    <fb>247.57</fb>
    <v>1</v>
  </rv>
  <rv s="0">
    <fb>242.07</fb>
    <v>1</v>
  </rv>
  <rv s="0">
    <fb>3125594</fb>
    <v>2</v>
  </rv>
  <rv s="0">
    <fb>45747</fb>
    <v>0</v>
  </rv>
  <rv s="0">
    <fb>248.66</fb>
    <v>1</v>
  </rv>
  <rv s="0">
    <fb>242.74</fb>
    <v>1</v>
  </rv>
  <rv s="0">
    <fb>250.89</fb>
    <v>1</v>
  </rv>
  <rv s="0">
    <fb>242.49</fb>
    <v>1</v>
  </rv>
  <rv s="0">
    <fb>6794972</fb>
    <v>2</v>
  </rv>
  <rv s="0">
    <fb>45748</fb>
    <v>0</v>
  </rv>
  <rv s="0">
    <fb>248.03</fb>
    <v>1</v>
  </rv>
  <rv s="0">
    <fb>250.62</fb>
    <v>1</v>
  </rv>
  <rv s="0">
    <fb>243.49</fb>
    <v>1</v>
  </rv>
  <rv s="0">
    <fb>4413139</fb>
    <v>2</v>
  </rv>
  <rv s="0">
    <fb>45749</fb>
    <v>0</v>
  </rv>
  <rv s="0">
    <fb>249.98</fb>
    <v>1</v>
  </rv>
  <rv s="0">
    <fb>248.22</fb>
    <v>1</v>
  </rv>
  <rv s="0">
    <fb>252.79</fb>
    <v>1</v>
  </rv>
  <rv s="0">
    <fb>247.23</fb>
    <v>1</v>
  </rv>
  <rv s="0">
    <fb>4080832</fb>
    <v>2</v>
  </rv>
  <rv s="0">
    <fb>45750</fb>
    <v>0</v>
  </rv>
  <rv s="0">
    <fb>242.71</fb>
    <v>1</v>
  </rv>
  <rv s="0">
    <fb>250.61</fb>
    <v>1</v>
  </rv>
  <rv s="0">
    <fb>242.53</fb>
    <v>1</v>
  </rv>
  <rv s="0">
    <fb>5309626</fb>
    <v>2</v>
  </rv>
  <rv s="0">
    <fb>45751</fb>
    <v>0</v>
  </rv>
  <rv s="0">
    <fb>227.48</fb>
    <v>1</v>
  </rv>
  <rv s="0">
    <fb>238</fb>
    <v>1</v>
  </rv>
  <rv s="0">
    <fb>240.16</fb>
    <v>1</v>
  </rv>
  <rv s="0">
    <fb>226.88</fb>
    <v>1</v>
  </rv>
  <rv s="0">
    <fb>7407096</fb>
    <v>2</v>
  </rv>
  <rv s="0">
    <fb>45754</fb>
    <v>0</v>
  </rv>
  <rv s="0">
    <fb>225.78</fb>
    <v>1</v>
  </rv>
  <rv s="0">
    <fb>219.24</fb>
    <v>1</v>
  </rv>
  <rv s="0">
    <fb>232.29</fb>
    <v>1</v>
  </rv>
  <rv s="0">
    <fb>214.5</fb>
    <v>1</v>
  </rv>
  <rv s="0">
    <fb>7797889</fb>
    <v>2</v>
  </rv>
  <rv s="0">
    <fb>45755</fb>
    <v>0</v>
  </rv>
  <rv s="0">
    <fb>221.03</fb>
    <v>1</v>
  </rv>
  <rv s="0">
    <fb>232.56</fb>
    <v>1</v>
  </rv>
  <rv s="0">
    <fb>233.05</fb>
    <v>1</v>
  </rv>
  <rv s="0">
    <fb>217.28</fb>
    <v>1</v>
  </rv>
  <rv s="0">
    <fb>6849996</fb>
    <v>2</v>
  </rv>
  <rv s="0">
    <fb>45756</fb>
    <v>0</v>
  </rv>
  <rv s="0">
    <fb>235.31</fb>
    <v>1</v>
  </rv>
  <rv s="0">
    <fb>217.12</fb>
    <v>1</v>
  </rv>
  <rv s="0">
    <fb>236.3</fb>
    <v>1</v>
  </rv>
  <rv s="0">
    <fb>215.1636</fb>
    <v>1</v>
  </rv>
  <rv s="0">
    <fb>7302808</fb>
    <v>2</v>
  </rv>
  <rv s="0">
    <fb>45757</fb>
    <v>0</v>
  </rv>
  <rv s="0">
    <fb>229.55</fb>
    <v>1</v>
  </rv>
  <rv s="0">
    <fb>231</fb>
    <v>1</v>
  </rv>
  <rv s="0">
    <fb>232.57</fb>
    <v>1</v>
  </rv>
  <rv s="0">
    <fb>222.02</fb>
    <v>1</v>
  </rv>
  <rv s="0">
    <fb>5656108</fb>
    <v>2</v>
  </rv>
  <rv s="0">
    <fb>45758</fb>
    <v>0</v>
  </rv>
  <rv s="0">
    <fb>235.48</fb>
    <v>1</v>
  </rv>
  <rv s="0">
    <fb>229.72</fb>
    <v>1</v>
  </rv>
  <rv s="0">
    <fb>237.58</fb>
    <v>1</v>
  </rv>
  <rv s="0">
    <fb>227.51</fb>
    <v>1</v>
  </rv>
  <rv s="0">
    <fb>4325895</fb>
    <v>2</v>
  </rv>
  <rv s="0">
    <fb>45761</fb>
    <v>0</v>
  </rv>
  <rv s="0">
    <fb>239.06</fb>
    <v>1</v>
  </rv>
  <rv s="0">
    <fb>239.77</fb>
    <v>1</v>
  </rv>
  <rv s="0">
    <fb>241.77</fb>
    <v>1</v>
  </rv>
  <rv s="0">
    <fb>236.73</fb>
    <v>1</v>
  </rv>
  <rv s="0">
    <fb>3321717</fb>
    <v>2</v>
  </rv>
  <rv s="0">
    <fb>45762</fb>
    <v>0</v>
  </rv>
  <rv s="0">
    <fb>240.7</fb>
    <v>1</v>
  </rv>
  <rv s="0">
    <fb>239.55</fb>
    <v>1</v>
  </rv>
  <rv s="0">
    <fb>241.53</fb>
    <v>1</v>
  </rv>
  <rv s="0">
    <fb>238.27</fb>
    <v>1</v>
  </rv>
  <rv s="0">
    <fb>3363708</fb>
    <v>2</v>
  </rv>
  <rv s="0">
    <fb>45763</fb>
    <v>0</v>
  </rv>
  <rv s="0">
    <fb>238.57</fb>
    <v>1</v>
  </rv>
  <rv s="0">
    <fb>240.28</fb>
    <v>1</v>
  </rv>
  <rv s="0">
    <fb>243.29990000000001</fb>
    <v>1</v>
  </rv>
  <rv s="0">
    <fb>235.89</fb>
    <v>1</v>
  </rv>
  <rv s="0">
    <fb>4870299</fb>
    <v>2</v>
  </rv>
  <rv s="0">
    <fb>45764</fb>
    <v>0</v>
  </rv>
  <rv s="0">
    <fb>238.81</fb>
    <v>1</v>
  </rv>
  <rv s="0">
    <fb>239.68</fb>
    <v>1</v>
  </rv>
  <rv s="0">
    <fb>241.77500000000001</fb>
    <v>1</v>
  </rv>
  <rv s="0">
    <fb>237.4</fb>
    <v>1</v>
  </rv>
  <rv s="0">
    <fb>4635204</fb>
    <v>2</v>
  </rv>
  <rv s="0">
    <fb>45768</fb>
    <v>0</v>
  </rv>
  <rv s="0">
    <fb>236.22</fb>
    <v>1</v>
  </rv>
  <rv s="0">
    <fb>238.065</fb>
    <v>1</v>
  </rv>
  <rv s="0">
    <fb>240.80500000000001</fb>
    <v>1</v>
  </rv>
  <rv s="0">
    <fb>232.93</fb>
    <v>1</v>
  </rv>
  <rv s="0">
    <fb>4908923</fb>
    <v>2</v>
  </rv>
  <rv s="0">
    <fb>45769</fb>
    <v>0</v>
  </rv>
  <rv s="0">
    <fb>240.9</fb>
    <v>1</v>
  </rv>
  <rv s="0">
    <fb>242.64</fb>
    <v>1</v>
  </rv>
  <rv s="0">
    <fb>238.02</fb>
    <v>1</v>
  </rv>
  <rv s="0">
    <fb>4232658</fb>
    <v>2</v>
  </rv>
  <rv s="0">
    <fb>45770</fb>
    <v>0</v>
  </rv>
  <rv s="0">
    <fb>245.48</fb>
    <v>1</v>
  </rv>
  <rv s="0">
    <fb>246</fb>
    <v>1</v>
  </rv>
  <rv s="0">
    <fb>249.34</fb>
    <v>1</v>
  </rv>
  <rv s="0">
    <fb>243.66</fb>
    <v>1</v>
  </rv>
  <rv s="0">
    <fb>7948259</fb>
    <v>2</v>
  </rv>
  <rv s="0">
    <fb>45771</fb>
    <v>0</v>
  </rv>
  <rv s="0">
    <fb>229.33</fb>
    <v>1</v>
  </rv>
  <rv s="0">
    <fb>231.17500000000001</fb>
    <v>1</v>
  </rv>
  <rv s="0">
    <fb>232.78</fb>
    <v>1</v>
  </rv>
  <rv s="0">
    <fb>224.4401</fb>
    <v>1</v>
  </rv>
  <rv s="0">
    <fb>15428144</fb>
    <v>2</v>
  </rv>
  <rv s="0">
    <fb>45772</fb>
    <v>0</v>
  </rv>
  <rv s="0">
    <fb>232.41</fb>
    <v>1</v>
  </rv>
  <rv s="0">
    <fb>228.95</fb>
    <v>1</v>
  </rv>
  <rv s="0">
    <fb>233.36</fb>
    <v>1</v>
  </rv>
  <rv s="0">
    <fb>226.32</fb>
    <v>1</v>
  </rv>
  <rv s="0">
    <fb>6700068</fb>
    <v>2</v>
  </rv>
  <rv s="0">
    <fb>45775</fb>
    <v>0</v>
  </rv>
  <rv s="0">
    <fb>236.16</fb>
    <v>1</v>
  </rv>
  <rv s="0">
    <fb>232.86</fb>
    <v>1</v>
  </rv>
  <rv s="0">
    <fb>236.63</fb>
    <v>1</v>
  </rv>
  <rv s="0">
    <fb>232.07</fb>
    <v>1</v>
  </rv>
  <rv s="0">
    <fb>3653461</fb>
    <v>2</v>
  </rv>
  <rv s="0">
    <fb>45776</fb>
    <v>0</v>
  </rv>
  <rv s="0">
    <fb>239.39</fb>
    <v>1</v>
  </rv>
  <rv s="0">
    <fb>237</fb>
    <v>1</v>
  </rv>
  <rv s="0">
    <fb>239.98</fb>
    <v>1</v>
  </rv>
  <rv s="0">
    <fb>236.14</fb>
    <v>1</v>
  </rv>
  <rv s="0">
    <fb>3426508</fb>
    <v>2</v>
  </rv>
  <rv s="0">
    <fb>45777</fb>
    <v>0</v>
  </rv>
  <rv s="0">
    <fb>241.82</fb>
    <v>1</v>
  </rv>
  <rv s="0">
    <fb>242.47</fb>
    <v>1</v>
  </rv>
  <rv s="0">
    <fb>234.34010000000001</fb>
    <v>1</v>
  </rv>
  <rv s="0">
    <fb>5142993</fb>
    <v>2</v>
  </rv>
  <rv s="0">
    <fb>45778</fb>
    <v>0</v>
  </rv>
  <rv s="0">
    <fb>239.66</fb>
    <v>1</v>
  </rv>
  <rv s="0">
    <fb>241.44</fb>
    <v>1</v>
  </rv>
  <rv s="0">
    <fb>242.37</fb>
    <v>1</v>
  </rv>
  <rv s="0">
    <fb>237.94499999999999</fb>
    <v>1</v>
  </rv>
  <rv s="0">
    <fb>4243294</fb>
    <v>2</v>
  </rv>
  <rv s="0">
    <fb>45779</fb>
    <v>0</v>
  </rv>
  <rv s="0">
    <fb>245.55</fb>
    <v>1</v>
  </rv>
  <rv s="0">
    <fb>243.125</fb>
    <v>1</v>
  </rv>
  <rv s="0">
    <fb>245.69</fb>
    <v>1</v>
  </rv>
  <rv s="0">
    <fb>241.33</fb>
    <v>1</v>
  </rv>
  <rv s="0">
    <fb>3731946</fb>
    <v>2</v>
  </rv>
  <rv s="0">
    <fb>45782</fb>
    <v>0</v>
  </rv>
  <rv s="0">
    <fb>249.18</fb>
    <v>1</v>
  </rv>
  <rv s="0">
    <fb>243.74</fb>
    <v>1</v>
  </rv>
  <rv s="0">
    <fb>249.8</fb>
    <v>1</v>
  </rv>
  <rv s="0">
    <fb>243.64</fb>
    <v>1</v>
  </rv>
  <rv s="0">
    <fb>4138168</fb>
    <v>2</v>
  </rv>
  <rv s="0">
    <fb>45783</fb>
    <v>0</v>
  </rv>
  <rv s="0">
    <fb>249.12</fb>
    <v>1</v>
  </rv>
  <rv s="0">
    <fb>247.76</fb>
    <v>1</v>
  </rv>
  <rv s="0">
    <fb>246.11</fb>
    <v>1</v>
  </rv>
  <rv s="0">
    <fb>2900556</fb>
    <v>2</v>
  </rv>
  <rv s="0">
    <fb>45784</fb>
    <v>0</v>
  </rv>
  <rv s="0">
    <fb>253.37</fb>
    <v>1</v>
  </rv>
  <rv s="0">
    <fb>249.45</fb>
    <v>1</v>
  </rv>
  <rv s="0">
    <fb>254.47</fb>
    <v>1</v>
  </rv>
  <rv s="0">
    <fb>248.83199999999999</fb>
    <v>1</v>
  </rv>
  <rv s="0">
    <fb>3400001</fb>
    <v>2</v>
  </rv>
  <rv s="0">
    <fb>45785</fb>
    <v>0</v>
  </rv>
  <rv s="0">
    <fb>254.14</fb>
    <v>1</v>
  </rv>
  <rv s="0">
    <fb>255</fb>
    <v>1</v>
  </rv>
  <rv s="0">
    <fb>256.52</fb>
    <v>1</v>
  </rv>
  <rv s="0">
    <fb>253.25</fb>
    <v>1</v>
  </rv>
  <rv s="0">
    <fb>3637012</fb>
    <v>2</v>
  </rv>
  <rv s="0">
    <fb>45786</fb>
    <v>0</v>
  </rv>
  <rv s="0">
    <fb>249.2</fb>
    <v>1</v>
  </rv>
  <rv s="0">
    <fb>253</fb>
    <v>1</v>
  </rv>
  <rv s="0">
    <fb>247.64</fb>
    <v>1</v>
  </rv>
  <rv s="0">
    <fb>2901346</fb>
    <v>2</v>
  </rv>
  <rv s="0">
    <fb>45789</fb>
    <v>0</v>
  </rv>
  <rv s="0">
    <fb>253.69</fb>
    <v>1</v>
  </rv>
  <rv s="0">
    <fb>252.5</fb>
    <v>1</v>
  </rv>
  <rv s="0">
    <fb>253.81</fb>
    <v>1</v>
  </rv>
  <rv s="0">
    <fb>244.65</fb>
    <v>1</v>
  </rv>
  <rv s="0">
    <fb>4609520</fb>
    <v>2</v>
  </rv>
  <rv s="0">
    <fb>45790</fb>
    <v>0</v>
  </rv>
  <rv s="0">
    <fb>258.58999999999997</fb>
    <v>1</v>
  </rv>
  <rv s="0">
    <fb>254.43</fb>
    <v>1</v>
  </rv>
  <rv s="0">
    <fb>252.88</fb>
    <v>1</v>
  </rv>
  <rv s="0">
    <fb>3521389</fb>
    <v>2</v>
  </rv>
  <rv s="0">
    <fb>45791</fb>
    <v>0</v>
  </rv>
  <rv s="0">
    <fb>257.82</fb>
    <v>1</v>
  </rv>
  <rv s="0">
    <fb>257.60000000000002</fb>
    <v>1</v>
  </rv>
  <rv s="0">
    <fb>260.55</fb>
    <v>1</v>
  </rv>
  <rv s="0">
    <fb>256.22000000000003</fb>
    <v>1</v>
  </rv>
  <rv s="0">
    <fb>3635124</fb>
    <v>2</v>
  </rv>
  <rv s="0">
    <fb>45792</fb>
    <v>0</v>
  </rv>
  <rv s="0">
    <fb>266.68</fb>
    <v>1</v>
  </rv>
  <rv s="0">
    <fb>259.01</fb>
    <v>1</v>
  </rv>
  <rv s="0">
    <fb>267.43</fb>
    <v>1</v>
  </rv>
  <rv s="0">
    <fb>258.61</fb>
    <v>1</v>
  </rv>
  <rv s="0">
    <fb>4856276</fb>
    <v>2</v>
  </rv>
  <rv s="0">
    <fb>45793</fb>
    <v>0</v>
  </rv>
  <rv s="0">
    <fb>266.76</fb>
    <v>1</v>
  </rv>
  <rv s="0">
    <fb>266.35000000000002</fb>
    <v>1</v>
  </rv>
  <rv s="0">
    <fb>267.98</fb>
    <v>1</v>
  </rv>
  <rv s="0">
    <fb>264.58999999999997</fb>
    <v>1</v>
  </rv>
  <rv s="0">
    <fb>3817937</fb>
    <v>2</v>
  </rv>
  <rv s="0">
    <fb>45796</fb>
    <v>0</v>
  </rv>
  <rv s="0">
    <fb>268.41000000000003</fb>
    <v>1</v>
  </rv>
  <rv s="0">
    <fb>265.45</fb>
    <v>1</v>
  </rv>
  <rv s="0">
    <fb>269.13499999999999</fb>
    <v>1</v>
  </rv>
  <rv s="0">
    <fb>265.08</fb>
    <v>1</v>
  </rv>
  <rv s="0">
    <fb>3198903</fb>
    <v>2</v>
  </rv>
  <rv s="0">
    <fb>45797</fb>
    <v>0</v>
  </rv>
  <rv s="0">
    <fb>266.95</fb>
    <v>1</v>
  </rv>
  <rv s="0">
    <fb>267.39999999999998</fb>
    <v>1</v>
  </rv>
  <rv s="0">
    <fb>269.27999999999997</fb>
    <v>1</v>
  </rv>
  <rv s="0">
    <fb>265.62009999999998</fb>
    <v>1</v>
  </rv>
  <rv s="0">
    <fb>2437860</fb>
    <v>2</v>
  </rv>
  <rv s="0">
    <fb>45798</fb>
    <v>0</v>
  </rv>
  <rv s="0">
    <fb>260.87</fb>
    <v>1</v>
  </rv>
  <rv s="0">
    <fb>264.97000000000003</fb>
    <v>1</v>
  </rv>
  <rv s="0">
    <fb>265.6499</fb>
    <v>1</v>
  </rv>
  <rv s="0">
    <fb>260.41000000000003</fb>
    <v>1</v>
  </rv>
  <rv s="0">
    <fb>3753904</fb>
    <v>2</v>
  </rv>
  <rv s="0">
    <fb>45799</fb>
    <v>0</v>
  </rv>
  <rv s="0">
    <fb>258.37</fb>
    <v>1</v>
  </rv>
  <rv s="0">
    <fb>260.77</fb>
    <v>1</v>
  </rv>
  <rv s="0">
    <fb>261.27109999999999</fb>
    <v>1</v>
  </rv>
  <rv s="0">
    <fb>3091253</fb>
    <v>2</v>
  </rv>
  <rv s="0">
    <fb>45800</fb>
    <v>0</v>
  </rv>
  <rv s="0">
    <fb>258.63</fb>
    <v>1</v>
  </rv>
  <rv s="0">
    <fb>258.58</fb>
    <v>1</v>
  </rv>
  <rv s="0">
    <fb>259.86959999999999</fb>
    <v>1</v>
  </rv>
  <rv s="0">
    <fb>255.79</fb>
    <v>1</v>
  </rv>
  <rv s="0">
    <fb>2722721</fb>
    <v>2</v>
  </rv>
  <rv s="0">
    <fb>45804</fb>
    <v>0</v>
  </rv>
  <rv s="0">
    <fb>263.23</fb>
    <v>1</v>
  </rv>
  <rv s="0">
    <fb>261</fb>
    <v>1</v>
  </rv>
  <rv s="0">
    <fb>263.7869</fb>
    <v>1</v>
  </rv>
  <rv s="0">
    <fb>259.63</fb>
    <v>1</v>
  </rv>
  <rv s="0">
    <fb>3284216</fb>
    <v>2</v>
  </rv>
  <rv s="0">
    <fb>45805</fb>
    <v>0</v>
  </rv>
  <rv s="0">
    <fb>260.24</fb>
    <v>1</v>
  </rv>
  <rv s="0">
    <fb>263.16000000000003</fb>
    <v>1</v>
  </rv>
  <rv s="0">
    <fb>265</fb>
    <v>1</v>
  </rv>
  <rv s="0">
    <fb>259.94</fb>
    <v>1</v>
  </rv>
  <rv s="0">
    <fb>2318437</fb>
    <v>2</v>
  </rv>
  <rv s="0">
    <fb>45806</fb>
    <v>0</v>
  </rv>
  <rv s="0">
    <fb>258.69</fb>
    <v>1</v>
  </rv>
  <rv s="0">
    <fb>260.75</fb>
    <v>1</v>
  </rv>
  <rv s="0">
    <fb>261.13</fb>
    <v>1</v>
  </rv>
  <rv s="0">
    <fb>2295228</fb>
    <v>2</v>
  </rv>
  <rv s="0">
    <fb>45807</fb>
    <v>0</v>
  </rv>
  <rv s="0">
    <fb>259.06</fb>
    <v>1</v>
  </rv>
  <rv s="0">
    <fb>258.75</fb>
    <v>1</v>
  </rv>
  <rv s="0">
    <fb>260.12</fb>
    <v>1</v>
  </rv>
  <rv s="0">
    <fb>257.10000000000002</fb>
    <v>1</v>
  </rv>
  <rv s="0">
    <fb>9668923</fb>
    <v>2</v>
  </rv>
  <rv s="0">
    <fb>45810</fb>
    <v>0</v>
  </rv>
  <rv s="0">
    <fb>263.89999999999998</fb>
    <v>1</v>
  </rv>
  <rv s="0">
    <fb>257.85000000000002</fb>
    <v>1</v>
  </rv>
  <rv s="0">
    <fb>263.976</fb>
    <v>1</v>
  </rv>
  <rv s="0">
    <fb>257.22000000000003</fb>
    <v>1</v>
  </rv>
  <rv s="0">
    <fb>2831881</fb>
    <v>2</v>
  </rv>
  <rv s="0">
    <fb>45811</fb>
    <v>0</v>
  </rv>
  <rv s="0">
    <fb>265.2</fb>
    <v>1</v>
  </rv>
  <rv s="0">
    <fb>263.35000000000002</fb>
    <v>1</v>
  </rv>
  <rv s="0">
    <fb>265.56</fb>
    <v>1</v>
  </rv>
  <rv s="0">
    <fb>262.58</fb>
    <v>1</v>
  </rv>
  <rv s="0">
    <fb>2494922</fb>
    <v>2</v>
  </rv>
  <rv s="0">
    <fb>45812</fb>
    <v>0</v>
  </rv>
  <rv s="0">
    <fb>265.52</fb>
    <v>1</v>
  </rv>
  <rv s="0">
    <fb>264.89999999999998</fb>
    <v>1</v>
  </rv>
  <rv s="0">
    <fb>267</fb>
    <v>1</v>
  </rv>
  <rv s="0">
    <fb>264.79000000000002</fb>
    <v>1</v>
  </rv>
  <rv s="0">
    <fb>2588741</fb>
    <v>2</v>
  </rv>
  <rv s="0">
    <fb>45813</fb>
    <v>0</v>
  </rv>
  <rv s="0">
    <fb>266.86</fb>
    <v>1</v>
  </rv>
  <rv s="0">
    <fb>267.51</fb>
    <v>1</v>
  </rv>
  <rv s="0">
    <fb>265.10000000000002</fb>
    <v>1</v>
  </rv>
  <rv s="0">
    <fb>2659478</fb>
    <v>2</v>
  </rv>
  <rv s="0">
    <fb>45814</fb>
    <v>0</v>
  </rv>
  <rv s="0">
    <fb>268.87</fb>
    <v>1</v>
  </rv>
  <rv s="0">
    <fb>267.99</fb>
    <v>1</v>
  </rv>
  <rv s="0">
    <fb>270.17</fb>
    <v>1</v>
  </rv>
  <rv s="0">
    <fb>267.52999999999997</fb>
    <v>1</v>
  </rv>
  <rv s="0">
    <fb>2495543</fb>
    <v>2</v>
  </rv>
  <rv s="0">
    <fb>45817</fb>
    <v>0</v>
  </rv>
  <rv s="0">
    <fb>272.08</fb>
    <v>1</v>
  </rv>
  <rv s="0">
    <fb>268.10000000000002</fb>
    <v>1</v>
  </rv>
  <rv s="0">
    <fb>273.47000000000003</fb>
    <v>1</v>
  </rv>
  <rv s="0">
    <fb>266.70999999999998</fb>
    <v>1</v>
  </rv>
  <rv s="0">
    <fb>4331464</fb>
    <v>2</v>
  </rv>
  <rv s="0">
    <fb>45818</fb>
    <v>0</v>
  </rv>
  <rv s="0">
    <fb>276.24</fb>
    <v>1</v>
  </rv>
  <rv s="0">
    <fb>273.19</fb>
    <v>1</v>
  </rv>
  <rv s="0">
    <fb>277.47000000000003</fb>
    <v>1</v>
  </rv>
  <rv s="0">
    <fb>272.56</fb>
    <v>1</v>
  </rv>
  <rv s="0">
    <fb>5163507</fb>
    <v>2</v>
  </rv>
  <rv s="0">
    <fb>45819</fb>
    <v>0</v>
  </rv>
  <rv s="0">
    <fb>281.52</fb>
    <v>1</v>
  </rv>
  <rv s="0">
    <fb>276.7</fb>
    <v>1</v>
  </rv>
  <rv s="0">
    <fb>281.75</fb>
    <v>1</v>
  </rv>
  <rv s="0">
    <fb>275.11</fb>
    <v>1</v>
  </rv>
  <rv s="0">
    <fb>4656034</fb>
    <v>2</v>
  </rv>
  <rv s="0">
    <fb>45820</fb>
    <v>0</v>
  </rv>
  <rv s="0">
    <fb>281.02999999999997</fb>
    <v>1</v>
  </rv>
  <rv s="0">
    <fb>281.52999999999997</fb>
    <v>1</v>
  </rv>
  <rv s="0">
    <fb>283.06</fb>
    <v>1</v>
  </rv>
  <rv s="0">
    <fb>279.83</fb>
    <v>1</v>
  </rv>
  <rv s="0">
    <fb>3418007</fb>
    <v>2</v>
  </rv>
  <rv s="0">
    <fb>45821</fb>
    <v>0</v>
  </rv>
  <rv s="0">
    <fb>277.22000000000003</fb>
    <v>1</v>
  </rv>
  <rv s="0">
    <fb>278.20499999999998</fb>
    <v>1</v>
  </rv>
  <rv s="0">
    <fb>279.83999999999997</fb>
    <v>1</v>
  </rv>
  <rv s="0">
    <fb>275.83</fb>
    <v>1</v>
  </rv>
  <rv s="0">
    <fb>3243824</fb>
    <v>2</v>
  </rv>
  <rv s="0">
    <fb>45824</fb>
    <v>0</v>
  </rv>
  <rv s="0">
    <fb>281.83</fb>
    <v>1</v>
  </rv>
  <rv s="0">
    <fb>279.30500000000001</fb>
    <v>1</v>
  </rv>
  <rv s="0">
    <fb>284.5</fb>
    <v>1</v>
  </rv>
  <rv s="0">
    <fb>278.66570000000002</fb>
    <v>1</v>
  </rv>
  <rv s="0">
    <fb>3685321</fb>
    <v>2</v>
  </rv>
  <rv s="0">
    <fb>45825</fb>
    <v>0</v>
  </rv>
  <rv s="0">
    <fb>283.05</fb>
    <v>1</v>
  </rv>
  <rv s="0">
    <fb>281.14999999999998</fb>
    <v>1</v>
  </rv>
  <rv s="0">
    <fb>284.78989999999999</fb>
    <v>1</v>
  </rv>
  <rv s="0">
    <fb>281.00009999999997</fb>
    <v>1</v>
  </rv>
  <rv s="0">
    <fb>3069556</fb>
    <v>2</v>
  </rv>
  <rv s="0">
    <fb>45826</fb>
    <v>0</v>
  </rv>
  <rv s="0">
    <fb>283.20999999999998</fb>
    <v>1</v>
  </rv>
  <rv s="0">
    <fb>285</fb>
    <v>1</v>
  </rv>
  <rv s="0">
    <fb>286.91000000000003</fb>
    <v>1</v>
  </rv>
  <rv s="0">
    <fb>282.94</fb>
    <v>1</v>
  </rv>
  <rv s="0">
    <fb>3534110</fb>
    <v>2</v>
  </rv>
  <rv s="0">
    <fb>45828</fb>
    <v>0</v>
  </rv>
  <rv s="0">
    <fb>280.97000000000003</fb>
    <v>1</v>
  </rv>
  <rv s="0">
    <fb>279.27999999999997</fb>
    <v>1</v>
  </rv>
  <rv s="0">
    <fb>284.12</fb>
    <v>1</v>
  </rv>
  <rv s="0">
    <fb>277.2</fb>
    <v>1</v>
  </rv>
  <rv s="0">
    <fb>7676962</fb>
    <v>2</v>
  </rv>
  <rv s="0">
    <fb>45831</fb>
    <v>0</v>
  </rv>
  <rv s="0">
    <fb>289.18</fb>
    <v>1</v>
  </rv>
  <rv s="0">
    <fb>281.64999999999998</fb>
    <v>1</v>
  </rv>
  <rv s="0">
    <fb>289.58</fb>
    <v>1</v>
  </rv>
  <rv s="0">
    <fb>280.20999999999998</fb>
    <v>1</v>
  </rv>
  <rv s="0">
    <fb>3786159</fb>
    <v>2</v>
  </rv>
  <rv s="0">
    <fb>45832</fb>
    <v>0</v>
  </rv>
  <rv s="0">
    <fb>293.79000000000002</fb>
    <v>1</v>
  </rv>
  <rv s="0">
    <fb>290.45999999999998</fb>
    <v>1</v>
  </rv>
  <rv s="0">
    <fb>294.3399</fb>
    <v>1</v>
  </rv>
  <rv s="0">
    <fb>288.41000000000003</fb>
    <v>1</v>
  </rv>
  <rv s="0">
    <fb>4219120</fb>
    <v>2</v>
  </rv>
  <rv s="0">
    <fb>45833</fb>
    <v>0</v>
  </rv>
  <rv s="0">
    <fb>291.06</fb>
    <v>1</v>
  </rv>
  <rv s="0">
    <fb>294.49</fb>
    <v>1</v>
  </rv>
  <rv s="0">
    <fb>296.16000000000003</fb>
    <v>1</v>
  </rv>
  <rv s="0">
    <fb>289.5</fb>
    <v>1</v>
  </rv>
  <rv s="0">
    <fb>3862309</fb>
    <v>2</v>
  </rv>
  <rv s="0">
    <fb>45834</fb>
    <v>0</v>
  </rv>
  <rv s="0">
    <fb>291.93</fb>
    <v>1</v>
  </rv>
  <rv s="0">
    <fb>291.8</fb>
    <v>1</v>
  </rv>
  <rv s="0">
    <fb>292.91000000000003</fb>
    <v>1</v>
  </rv>
  <rv s="0">
    <fb>290.16500000000002</fb>
    <v>1</v>
  </rv>
  <rv s="0">
    <fb>3621110</fb>
    <v>2</v>
  </rv>
  <rv s="0">
    <fb>45835</fb>
    <v>0</v>
  </rv>
  <rv s="0">
    <fb>289.7</fb>
    <v>1</v>
  </rv>
  <rv s="0">
    <fb>292.97000000000003</fb>
    <v>1</v>
  </rv>
  <rv s="0">
    <fb>293.12</fb>
    <v>1</v>
  </rv>
  <rv s="0">
    <fb>288.52</fb>
    <v>1</v>
  </rv>
  <rv s="0">
    <fb>3562501</fb>
    <v>2</v>
  </rv>
  <rv s="0">
    <fb>45838</fb>
    <v>0</v>
  </rv>
  <rv s="0">
    <fb>294.77999999999997</fb>
    <v>1</v>
  </rv>
  <rv s="0">
    <fb>290.93</fb>
    <v>1</v>
  </rv>
  <rv s="0">
    <fb>294.81</fb>
    <v>1</v>
  </rv>
  <rv s="0">
    <fb>290</fb>
    <v>1</v>
  </rv>
  <rv s="0">
    <fb>3495386</fb>
    <v>2</v>
  </rv>
  <rv s="0">
    <fb>45839</fb>
    <v>0</v>
  </rv>
  <rv s="0">
    <fb>291.2</fb>
    <v>1</v>
  </rv>
  <rv s="0">
    <fb>294.55</fb>
    <v>1</v>
  </rv>
  <rv s="0">
    <fb>295.10809999999998</fb>
    <v>1</v>
  </rv>
  <rv s="0">
    <fb>290.08</fb>
    <v>1</v>
  </rv>
  <rv s="0">
    <fb>3272797</fb>
    <v>2</v>
  </rv>
  <rv s="0">
    <fb>45840</fb>
    <v>0</v>
  </rv>
  <rv s="0">
    <fb>287.64999999999998</fb>
    <v>1</v>
  </rv>
  <rv s="0">
    <fb>290.19</fb>
    <v>1</v>
  </rv>
  <rv s="0">
    <fb>286.89999999999998</fb>
    <v>1</v>
  </rv>
  <rv s="0">
    <fb>3257515</fb>
    <v>2</v>
  </rv>
  <rv s="0">
    <fb>45841</fb>
    <v>0</v>
  </rv>
  <rv s="0">
    <fb>291.97000000000003</fb>
    <v>1</v>
  </rv>
  <rv s="0">
    <fb>287.94</fb>
    <v>1</v>
  </rv>
  <rv s="0">
    <fb>292.32</fb>
    <v>1</v>
  </rv>
  <rv s="0">
    <fb>287.89999999999998</fb>
    <v>1</v>
  </rv>
  <rv s="0">
    <fb>1853289</fb>
    <v>2</v>
  </rv>
  <rv s="0">
    <fb>45845</fb>
    <v>0</v>
  </rv>
  <rv s="0">
    <fb>292.47000000000003</fb>
    <v>1</v>
  </rv>
  <rv s="0">
    <fb>292.5</fb>
    <v>1</v>
  </rv>
  <rv s="0">
    <fb>295.2199</fb>
    <v>1</v>
  </rv>
  <rv s="0">
    <fb>290.36070000000001</fb>
    <v>1</v>
  </rv>
  <rv s="0">
    <fb>4488064</fb>
    <v>2</v>
  </rv>
  <rv s="0">
    <fb>45846</fb>
    <v>0</v>
  </rv>
  <rv s="0">
    <fb>290.42</fb>
    <v>1</v>
  </rv>
  <rv s="0">
    <fb>293.10000000000002</fb>
    <v>1</v>
  </rv>
  <rv s="0">
    <fb>295.61</fb>
    <v>1</v>
  </rv>
  <rv s="0">
    <fb>289.49</fb>
    <v>1</v>
  </rv>
  <rv s="0">
    <fb>2925329</fb>
    <v>2</v>
  </rv>
  <rv s="0">
    <fb>45847</fb>
    <v>0</v>
  </rv>
  <rv s="0">
    <fb>290.14</fb>
    <v>1</v>
  </rv>
  <rv s="0">
    <fb>291.39</fb>
    <v>1</v>
  </rv>
  <rv s="0">
    <fb>291.60000000000002</fb>
    <v>1</v>
  </rv>
  <rv s="0">
    <fb>288.63</fb>
    <v>1</v>
  </rv>
  <rv s="0">
    <fb>2971309</fb>
    <v>2</v>
  </rv>
  <rv s="0">
    <fb>45848</fb>
    <v>0</v>
  </rv>
  <rv s="0">
    <fb>287.43</fb>
    <v>1</v>
  </rv>
  <rv s="0">
    <fb>288.89999999999998</fb>
    <v>1</v>
  </rv>
  <rv s="0">
    <fb>282.20999999999998</fb>
    <v>1</v>
  </rv>
  <rv s="0">
    <fb>3489068</fb>
    <v>2</v>
  </rv>
  <rv s="0">
    <fb>45849</fb>
    <v>0</v>
  </rv>
  <rv s="0">
    <fb>283.58999999999997</fb>
    <v>1</v>
  </rv>
  <rv s="0">
    <fb>285.01</fb>
    <v>1</v>
  </rv>
  <rv s="0">
    <fb>282.92</fb>
    <v>1</v>
  </rv>
  <rv s="0">
    <fb>3790679</fb>
    <v>2</v>
  </rv>
  <rv s="0">
    <fb>45852</fb>
    <v>0</v>
  </rv>
  <rv s="0">
    <fb>283.79000000000002</fb>
    <v>1</v>
  </rv>
  <rv s="0">
    <fb>282.83</fb>
    <v>1</v>
  </rv>
  <rv s="0">
    <fb>284.92500000000001</fb>
    <v>1</v>
  </rv>
  <rv s="0">
    <fb>281.70999999999998</fb>
    <v>1</v>
  </rv>
  <rv s="0">
    <fb>2857401</fb>
    <v>2</v>
  </rv>
  <rv s="0">
    <fb>45853</fb>
    <v>0</v>
  </rv>
  <rv s="0">
    <fb>282.7</fb>
    <v>1</v>
  </rv>
  <rv s="0">
    <fb>283.77</fb>
    <v>1</v>
  </rv>
  <rv s="0">
    <fb>284.15499999999997</fb>
    <v>1</v>
  </rv>
  <rv s="0">
    <fb>280.73009999999999</fb>
    <v>1</v>
  </rv>
  <rv s="0">
    <fb>2864106</fb>
    <v>2</v>
  </rv>
  <rv s="0">
    <fb>45854</fb>
    <v>0</v>
  </rv>
  <rv s="0">
    <fb>281.92</fb>
    <v>1</v>
  </rv>
  <rv s="0">
    <fb>282.75</fb>
    <v>1</v>
  </rv>
  <rv s="0">
    <fb>283.87</fb>
    <v>1</v>
  </rv>
  <rv s="0">
    <fb>279.87</fb>
    <v>1</v>
  </rv>
  <rv s="0">
    <fb>2804831</fb>
    <v>2</v>
  </rv>
  <rv s="0">
    <fb>45855</fb>
    <v>0</v>
  </rv>
  <rv s="0">
    <fb>282</fb>
    <v>1</v>
  </rv>
  <rv s="0">
    <fb>281.5</fb>
    <v>1</v>
  </rv>
  <rv s="0">
    <fb>283.45659999999998</fb>
    <v>1</v>
  </rv>
  <rv s="0">
    <fb>280.89999999999998</fb>
    <v>1</v>
  </rv>
  <rv s="0">
    <fb>3337168</fb>
    <v>2</v>
  </rv>
  <rv s="0">
    <fb>45856</fb>
    <v>0</v>
  </rv>
  <rv s="0">
    <fb>285.87</fb>
    <v>1</v>
  </rv>
  <rv s="0">
    <fb>283.38</fb>
    <v>1</v>
  </rv>
  <rv s="0">
    <fb>287.16000000000003</fb>
    <v>1</v>
  </rv>
  <rv s="0">
    <fb>282.22000000000003</fb>
    <v>1</v>
  </rv>
  <rv s="0">
    <fb>4478165</fb>
    <v>2</v>
  </rv>
  <rv s="0">
    <fb>45859</fb>
    <v>0</v>
  </rv>
  <rv s="0">
    <fb>284.70999999999998</fb>
    <v>1</v>
  </rv>
  <rv s="0">
    <fb>286.29000000000002</fb>
    <v>1</v>
  </rv>
  <rv s="0">
    <fb>287.73</fb>
    <v>1</v>
  </rv>
  <rv s="0">
    <fb>284.38</fb>
    <v>1</v>
  </rv>
  <rv s="0">
    <fb>3051791</fb>
    <v>2</v>
  </rv>
  <rv s="0">
    <fb>45860</fb>
    <v>0</v>
  </rv>
  <rv s="0">
    <fb>281.95999999999998</fb>
    <v>1</v>
  </rv>
  <rv s="0">
    <fb>284.74</fb>
    <v>1</v>
  </rv>
  <rv s="0">
    <fb>284.88</fb>
    <v>1</v>
  </rv>
  <rv s="0">
    <fb>281.25</fb>
    <v>1</v>
  </rv>
  <rv s="0">
    <fb>4824219</fb>
    <v>2</v>
  </rv>
  <rv s="0">
    <fb>45861</fb>
    <v>0</v>
  </rv>
  <rv s="0">
    <fb>282.01</fb>
    <v>1</v>
  </rv>
  <rv s="0">
    <fb>284.3</fb>
    <v>1</v>
  </rv>
  <rv s="0">
    <fb>288.08</fb>
    <v>1</v>
  </rv>
  <rv s="0">
    <fb>281.44</fb>
    <v>1</v>
  </rv>
  <rv s="0">
    <fb>8105906</fb>
    <v>2</v>
  </rv>
  <rv s="0">
    <fb>45862</fb>
    <v>0</v>
  </rv>
  <rv s="0">
    <fb>260.51</fb>
    <v>1</v>
  </rv>
  <rv s="0">
    <fb>261.25</fb>
    <v>1</v>
  </rv>
  <rv s="0">
    <fb>262.04860000000002</fb>
    <v>1</v>
  </rv>
  <rv s="0">
    <fb>252.75</fb>
    <v>1</v>
  </rv>
  <rv s="0">
    <fb>22647720</fb>
    <v>2</v>
  </rv>
  <rv s="0">
    <fb>45863</fb>
    <v>0</v>
  </rv>
  <rv s="0">
    <fb>259.72000000000003</fb>
    <v>1</v>
  </rv>
  <rv s="0">
    <fb>260.02</fb>
    <v>1</v>
  </rv>
  <rv s="0">
    <fb>260.8</fb>
    <v>1</v>
  </rv>
  <rv s="0">
    <fb>256.35000000000002</fb>
    <v>1</v>
  </rv>
  <rv s="0">
    <fb>7758653</fb>
    <v>2</v>
  </rv>
  <rv s="0">
    <fb>45866</fb>
    <v>0</v>
  </rv>
  <rv s="0">
    <fb>263.20999999999998</fb>
    <v>1</v>
  </rv>
  <rv s="0">
    <fb>260.3</fb>
    <v>1</v>
  </rv>
  <rv s="0">
    <fb>264</fb>
    <v>1</v>
  </rv>
  <rv s="0">
    <fb>259.61</fb>
    <v>1</v>
  </rv>
  <rv s="0">
    <fb>5192516</fb>
    <v>2</v>
  </rv>
  <rv s="0">
    <fb>45867</fb>
    <v>0</v>
  </rv>
  <rv s="0">
    <fb>262.41000000000003</fb>
    <v>1</v>
  </rv>
  <rv s="0">
    <fb>264.3</fb>
    <v>1</v>
  </rv>
  <rv s="0">
    <fb>265.79989999999998</fb>
    <v>1</v>
  </rv>
  <rv s="0">
    <fb>261.02</fb>
    <v>1</v>
  </rv>
  <rv s="0">
    <fb>4627265</fb>
    <v>2</v>
  </rv>
  <rv s="0">
    <fb>45868</fb>
    <v>0</v>
  </rv>
  <rv s="0">
    <fb>260.26</fb>
    <v>1</v>
  </rv>
  <rv s="0">
    <fb>261.60000000000002</fb>
    <v>1</v>
  </rv>
  <rv s="0">
    <fb>258.89999999999998</fb>
    <v>1</v>
  </rv>
  <rv s="0">
    <fb>3718290</fb>
    <v>2</v>
  </rv>
  <rv s="0">
    <fb>45869</fb>
    <v>0</v>
  </rv>
  <rv s="0">
    <fb>253.15</fb>
    <v>1</v>
  </rv>
  <rv s="0">
    <fb>259.57</fb>
    <v>1</v>
  </rv>
  <rv s="0">
    <fb>259.99</fb>
    <v>1</v>
  </rv>
  <rv s="0">
    <fb>252.22</fb>
    <v>1</v>
  </rv>
  <rv s="0">
    <fb>6739092</fb>
    <v>2</v>
  </rv>
  <rv s="0">
    <fb>45870</fb>
    <v>0</v>
  </rv>
  <rv s="0">
    <fb>250.05</fb>
    <v>1</v>
  </rv>
  <rv s="0">
    <fb>251.405</fb>
    <v>1</v>
  </rv>
  <rv s="0">
    <fb>251.47909999999999</fb>
    <v>1</v>
  </rv>
  <rv s="0">
    <fb>245.61</fb>
    <v>1</v>
  </rv>
  <rv s="0">
    <fb>9683404</fb>
    <v>2</v>
  </rv>
  <rv s="0">
    <fb>45873</fb>
    <v>0</v>
  </rv>
  <rv s="0">
    <fb>251.98</fb>
    <v>1</v>
  </rv>
  <rv s="0">
    <fb>251.05</fb>
    <v>1</v>
  </rv>
  <rv s="0">
    <fb>252.08</fb>
    <v>1</v>
  </rv>
  <rv s="0">
    <fb>248.11</fb>
    <v>1</v>
  </rv>
  <rv s="0">
    <fb>5280588</fb>
    <v>2</v>
  </rv>
  <rv s="0">
    <fb>45874</fb>
    <v>0</v>
  </rv>
  <rv s="0">
    <fb>250.67</fb>
    <v>1</v>
  </rv>
  <rv s="0">
    <fb>252</fb>
    <v>1</v>
  </rv>
  <rv s="0">
    <fb>252.8</fb>
    <v>1</v>
  </rv>
  <rv s="0">
    <fb>248.995</fb>
    <v>1</v>
  </rv>
  <rv s="0">
    <fb>5823016</fb>
    <v>2</v>
  </rv>
  <rv s="0">
    <fb>45875</fb>
    <v>0</v>
  </rv>
  <rv s="0">
    <fb>252.28</fb>
    <v>1</v>
  </rv>
  <rv s="0">
    <fb>251.53</fb>
    <v>1</v>
  </rv>
  <rv s="0">
    <fb>249.28</fb>
    <v>1</v>
  </rv>
  <rv s="0">
    <fb>3692105</fb>
    <v>2</v>
  </rv>
  <rv s="0">
    <fb>45876</fb>
    <v>0</v>
  </rv>
  <rv s="0">
    <fb>250.16</fb>
    <v>1</v>
  </rv>
  <rv s="0">
    <fb>252.81</fb>
    <v>1</v>
  </rv>
  <rv s="0">
    <fb>248.875</fb>
    <v>1</v>
  </rv>
  <rv s="0">
    <fb>6251285</fb>
    <v>2</v>
  </rv>
  <rv s="0">
    <fb>45877</fb>
    <v>0</v>
  </rv>
  <rv s="0">
    <fb>242.27</fb>
    <v>1</v>
  </rv>
  <rv s="0">
    <fb>248.88</fb>
    <v>1</v>
  </rv>
  <rv s="0">
    <fb>249.48</fb>
    <v>1</v>
  </rv>
  <rv s="0">
    <fb>241.65</fb>
    <v>1</v>
  </rv>
  <rv s="0">
    <fb>6828390</fb>
    <v>2</v>
  </rv>
  <rv s="0">
    <fb>45880</fb>
    <v>0</v>
  </rv>
  <rv s="0">
    <fb>242.24</fb>
    <v>1</v>
  </rv>
  <rv s="0">
    <fb>243.15</fb>
    <v>1</v>
  </rv>
  <rv s="0">
    <fb>234.7</fb>
    <v>1</v>
  </rv>
  <rv s="0">
    <fb>9381960</fb>
    <v>2</v>
  </rv>
  <rv s="0">
    <fb>45881</fb>
    <v>0</v>
  </rv>
  <rv s="0">
    <fb>234.77</fb>
    <v>1</v>
  </rv>
  <rv s="0">
    <fb>236.53</fb>
    <v>1</v>
  </rv>
  <rv s="0">
    <fb>237.96</fb>
    <v>1</v>
  </rv>
  <rv s="0">
    <fb>8800597</fb>
    <v>2</v>
  </rv>
  <rv s="0">
    <fb>45882</fb>
    <v>0</v>
  </rv>
  <rv s="0">
    <fb>240.07</fb>
    <v>1</v>
  </rv>
  <rv s="0">
    <fb>236.2</fb>
    <v>1</v>
  </rv>
  <rv s="0">
    <fb>240.84110000000001</fb>
    <v>1</v>
  </rv>
  <rv s="0">
    <fb>5663562</fb>
    <v>2</v>
  </rv>
  <rv s="0">
    <fb>45883</fb>
    <v>0</v>
  </rv>
  <rv s="0">
    <fb>237.11</fb>
    <v>1</v>
  </rv>
  <rv s="0">
    <fb>238.25</fb>
    <v>1</v>
  </rv>
  <rv s="0">
    <fb>239</fb>
    <v>1</v>
  </rv>
  <rv s="0">
    <fb>235.62</fb>
    <v>1</v>
  </rv>
  <rv s="0">
    <fb>4556725</fb>
    <v>2</v>
  </rv>
  <rv s="0">
    <fb>45884</fb>
    <v>0</v>
  </rv>
  <rv s="0">
    <fb>239.72</fb>
    <v>1</v>
  </rv>
  <rv s="0">
    <fb>237.61</fb>
    <v>1</v>
  </rv>
  <rv s="0">
    <fb>240.62</fb>
    <v>1</v>
  </rv>
  <rv s="0">
    <fb>236.77</fb>
    <v>1</v>
  </rv>
  <rv s="0">
    <fb>4344322</fb>
    <v>2</v>
  </rv>
  <rv s="0">
    <fb>45887</fb>
    <v>0</v>
  </rv>
  <rv s="0">
    <fb>239.45</fb>
    <v>1</v>
  </rv>
  <rv s="0">
    <fb>239.57</fb>
    <v>1</v>
  </rv>
  <rv s="0">
    <fb>241.42</fb>
    <v>1</v>
  </rv>
  <rv s="0">
    <fb>239.11580000000001</fb>
    <v>1</v>
  </rv>
  <rv s="0">
    <fb>3569594</fb>
    <v>2</v>
  </rv>
  <rv s="0">
    <fb>45888</fb>
    <v>0</v>
  </rv>
  <rv s="0">
    <fb>241.28</fb>
    <v>1</v>
  </rv>
  <rv s="0">
    <fb>240</fb>
    <v>1</v>
  </rv>
  <rv s="0">
    <fb>242.83</fb>
    <v>1</v>
  </rv>
  <rv s="0">
    <fb>239.49</fb>
    <v>1</v>
  </rv>
  <rv s="0">
    <fb>3328305</fb>
    <v>2</v>
  </rv>
  <rv s="0">
    <fb>45889</fb>
    <v>0</v>
  </rv>
  <rv s="0">
    <fb>242.55</fb>
    <v>1</v>
  </rv>
  <rv s="0">
    <fb>242.11</fb>
    <v>1</v>
  </rv>
  <rv s="0">
    <fb>242.88</fb>
    <v>1</v>
  </rv>
  <rv s="0">
    <fb>240.34</fb>
    <v>1</v>
  </rv>
  <rv s="0">
    <fb>3240064</fb>
    <v>2</v>
  </rv>
  <rv s="0">
    <fb>45890</fb>
    <v>0</v>
  </rv>
  <rv s="0">
    <fb>239.4</fb>
    <v>1</v>
  </rv>
  <rv s="0">
    <fb>242.21</fb>
    <v>1</v>
  </rv>
  <rv s="0">
    <fb>242.5</fb>
    <v>1</v>
  </rv>
  <rv s="0">
    <fb>238.65</fb>
    <v>1</v>
  </rv>
  <rv s="0">
    <fb>2991902</fb>
    <v>2</v>
  </rv>
  <rv s="0">
    <fb>45891</fb>
    <v>0</v>
  </rv>
  <rv s="0">
    <fb>242.09</fb>
    <v>1</v>
  </rv>
  <rv s="0">
    <fb>240.74</fb>
    <v>1</v>
  </rv>
  <rv s="0">
    <fb>243.68</fb>
    <v>1</v>
  </rv>
  <rv s="0">
    <fb>240.22</fb>
    <v>1</v>
  </rv>
  <rv s="0">
    <fb>3134882</fb>
    <v>2</v>
  </rv>
  <rv s="0">
    <fb>45894</fb>
    <v>0</v>
  </rv>
  <rv s="0">
    <fb>239.43</fb>
    <v>1</v>
  </rv>
  <rv s="0">
    <fb>242.565</fb>
    <v>1</v>
  </rv>
  <rv s="0">
    <fb>3513327</fb>
    <v>2</v>
  </rv>
  <rv s="0">
    <fb>45895</fb>
    <v>0</v>
  </rv>
  <rv s="0">
    <fb>242.63</fb>
    <v>1</v>
  </rv>
  <rv s="0">
    <fb>241.02</fb>
    <v>1</v>
  </rv>
  <rv s="0">
    <fb>244.98</fb>
    <v>1</v>
  </rv>
  <rv s="0">
    <fb>240.38</fb>
    <v>1</v>
  </rv>
  <rv s="0">
    <fb>5386582</fb>
    <v>2</v>
  </rv>
  <rv s="0">
    <fb>45896</fb>
    <v>0</v>
  </rv>
  <rv s="0">
    <fb>244.84</fb>
    <v>1</v>
  </rv>
  <rv s="0">
    <fb>242.87</fb>
    <v>1</v>
  </rv>
  <rv s="0">
    <fb>245.96</fb>
    <v>1</v>
  </rv>
  <rv s="0">
    <fb>242</fb>
    <v>1</v>
  </rv>
  <rv s="0">
    <fb>3698372</fb>
    <v>2</v>
  </rv>
  <rv s="0">
    <fb>45897</fb>
    <v>0</v>
  </rv>
  <rv s="0">
    <fb>245.73</fb>
    <v>1</v>
  </rv>
  <rv s="0">
    <fb>245.43</fb>
    <v>1</v>
  </rv>
  <rv s="0">
    <fb>245.88</fb>
    <v>1</v>
  </rv>
  <rv s="0">
    <fb>243.36</fb>
    <v>1</v>
  </rv>
  <rv s="0">
    <fb>2820817</fb>
    <v>2</v>
  </rv>
  <rv s="0">
    <fb>45898</fb>
    <v>0</v>
  </rv>
  <rv s="0">
    <fb>245.23</fb>
    <v>1</v>
  </rv>
  <rv s="0">
    <fb>245.4599</fb>
    <v>1</v>
  </rv>
  <rv s="0">
    <fb>241.72</fb>
    <v>1</v>
  </rv>
  <rv s="0">
    <fb>2967558</fb>
    <v>2</v>
  </rv>
  <rv s="0">
    <fb>45902</fb>
    <v>0</v>
  </rv>
  <rv s="0">
    <fb>241.5</fb>
    <v>1</v>
  </rv>
  <rv s="0">
    <fb>241.55</fb>
    <v>1</v>
  </rv>
  <rv s="0">
    <fb>3469501</fb>
    <v>2</v>
  </rv>
  <rv s="0">
    <fb>45903</fb>
    <v>0</v>
  </rv>
  <rv s="0">
    <fb>244.1</fb>
    <v>1</v>
  </rv>
  <rv s="0">
    <fb>240.02</fb>
    <v>1</v>
  </rv>
  <rv s="0">
    <fb>244.25</fb>
    <v>1</v>
  </rv>
  <rv s="0">
    <fb>239.41</fb>
    <v>1</v>
  </rv>
  <rv s="0">
    <fb>3163225</fb>
    <v>2</v>
  </rv>
  <rv s="0">
    <fb>45904</fb>
    <v>0</v>
  </rv>
  <rv s="0">
    <fb>247.18</fb>
    <v>1</v>
  </rv>
  <rv s="0">
    <fb>245.42</fb>
    <v>1</v>
  </rv>
  <rv s="0">
    <fb>242.85</fb>
    <v>1</v>
  </rv>
  <rv s="0">
    <fb>4765087</fb>
    <v>2</v>
  </rv>
  <rv s="0">
    <fb>45905</fb>
    <v>0</v>
  </rv>
  <rv s="0">
    <fb>248.53</fb>
    <v>1</v>
  </rv>
  <rv s="0">
    <fb>248.23</fb>
    <v>1</v>
  </rv>
  <rv s="0">
    <fb>249.03</fb>
    <v>1</v>
  </rv>
  <rv s="0">
    <fb>245.45</fb>
    <v>1</v>
  </rv>
  <rv s="0">
    <fb>3147478</fb>
    <v>2</v>
  </rv>
  <rv s="0">
    <fb>45908</fb>
    <v>0</v>
  </rv>
  <rv s="0">
    <fb>256.08999999999997</fb>
    <v>1</v>
  </rv>
  <rv s="0">
    <fb>248.63</fb>
    <v>1</v>
  </rv>
  <rv s="0">
    <fb>257.14999999999998</fb>
    <v>1</v>
  </rv>
  <rv s="0">
    <fb>247.02</fb>
    <v>1</v>
  </rv>
  <rv s="0">
    <fb>6940270</fb>
    <v>2</v>
  </rv>
  <rv s="0">
    <fb>45909</fb>
    <v>0</v>
  </rv>
  <rv s="0">
    <fb>259.11</fb>
    <v>1</v>
  </rv>
  <rv s="0">
    <fb>256.12</fb>
    <v>1</v>
  </rv>
  <rv s="0">
    <fb>260.66000000000003</fb>
    <v>1</v>
  </rv>
  <rv s="0">
    <fb>254.88</fb>
    <v>1</v>
  </rv>
  <rv s="0">
    <fb>4931105</fb>
    <v>2</v>
  </rv>
  <rv s="0">
    <fb>45910</fb>
    <v>0</v>
  </rv>
  <rv s="0">
    <fb>256.88</fb>
    <v>1</v>
  </rv>
  <rv s="0">
    <fb>259.64999999999998</fb>
    <v>1</v>
  </rv>
  <rv s="0">
    <fb>260.08</fb>
    <v>1</v>
  </rv>
  <rv s="0">
    <fb>254.56</fb>
    <v>1</v>
  </rv>
  <rv s="0">
    <fb>5185420</fb>
    <v>2</v>
  </rv>
  <rv s="0">
    <fb>45911</fb>
    <v>0</v>
  </rv>
  <rv s="0">
    <fb>257.01</fb>
    <v>1</v>
  </rv>
  <rv s="0">
    <fb>257.56</fb>
    <v>1</v>
  </rv>
  <rv s="0">
    <fb>258.54500000000002</fb>
    <v>1</v>
  </rv>
  <rv s="0">
    <fb>255.655</fb>
    <v>1</v>
  </rv>
  <rv s="0">
    <fb>3576048</fb>
    <v>2</v>
  </rv>
  <rv s="0">
    <fb>45912</fb>
    <v>0</v>
  </rv>
  <rv s="0">
    <fb>256.95</fb>
    <v>1</v>
  </rv>
  <rv s="0">
    <fb>257.25</fb>
    <v>1</v>
  </rv>
  <rv s="0">
    <fb>252.42500000000001</fb>
    <v>1</v>
  </rv>
  <rv s="0">
    <fb>3433300</fb>
    <v>2</v>
  </rv>
  <rv s="0">
    <fb>45915</fb>
    <v>0</v>
  </rv>
  <rv s="0">
    <fb>256.24</fb>
    <v>1</v>
  </rv>
  <rv s="0">
    <fb>254.02</fb>
    <v>1</v>
  </rv>
  <rv s="0">
    <fb>259.05</fb>
    <v>1</v>
  </rv>
  <rv s="0">
    <fb>254</fb>
    <v>1</v>
  </rv>
  <rv s="0">
    <fb>4028365</fb>
    <v>2</v>
  </rv>
  <rv s="0">
    <fb>45916</fb>
    <v>0</v>
  </rv>
  <rv s="0">
    <fb>257.52</fb>
    <v>1</v>
  </rv>
  <rv s="0">
    <fb>256.26</fb>
    <v>1</v>
  </rv>
  <rv s="0">
    <fb>258</fb>
    <v>1</v>
  </rv>
  <rv s="0">
    <fb>2719918</fb>
    <v>2</v>
  </rv>
  <rv s="0">
    <fb>45917</fb>
    <v>0</v>
  </rv>
  <rv s="0">
    <fb>259.08</fb>
    <v>1</v>
  </rv>
  <rv s="0">
    <fb>257.495</fb>
    <v>1</v>
  </rv>
  <rv s="0">
    <fb>260.96440000000001</fb>
    <v>1</v>
  </rv>
  <rv s="0">
    <fb>3974785</fb>
    <v>2</v>
  </rv>
  <rv s="0">
    <fb>45918</fb>
    <v>0</v>
  </rv>
  <rv s="0">
    <fb>258.86</fb>
    <v>1</v>
  </rv>
  <rv s="0">
    <fb>265.23</fb>
    <v>1</v>
  </rv>
  <rv s="0">
    <fb>256.80040000000002</fb>
    <v>1</v>
  </rv>
  <rv s="0">
    <fb>4988421</fb>
    <v>2</v>
  </rv>
  <rv s="0">
    <fb>45919</fb>
    <v>0</v>
  </rv>
  <rv s="0">
    <fb>266.39999999999998</fb>
    <v>1</v>
  </rv>
  <rv s="0">
    <fb>266.05</fb>
    <v>1</v>
  </rv>
  <rv s="0">
    <fb>267.87</fb>
    <v>1</v>
  </rv>
  <rv s="0">
    <fb>263.64</fb>
    <v>1</v>
  </rv>
  <rv s="0">
    <fb>9858112</fb>
    <v>2</v>
  </rv>
  <rv s="0">
    <fb>45922</fb>
    <v>0</v>
  </rv>
  <rv s="0">
    <fb>271.37</fb>
    <v>1</v>
  </rv>
  <rv s="0">
    <fb>266.62</fb>
    <v>1</v>
  </rv>
  <rv s="0">
    <fb>272.31</fb>
    <v>1</v>
  </rv>
  <rv s="0">
    <fb>266</fb>
    <v>1</v>
  </rv>
  <rv s="0">
    <fb>5030540</fb>
    <v>2</v>
  </rv>
  <rv s="0">
    <fb>45923</fb>
    <v>0</v>
  </rv>
  <rv s="0">
    <fb>272.24</fb>
    <v>1</v>
  </rv>
  <rv s="0">
    <fb>272.7</fb>
    <v>1</v>
  </rv>
  <rv s="0">
    <fb>273.2962</fb>
    <v>1</v>
  </rv>
  <rv s="0">
    <fb>269.26499999999999</fb>
    <v>1</v>
  </rv>
  <rv s="0">
    <fb>5394121</fb>
    <v>2</v>
  </rv>
  <rv s="0">
    <fb>45924</fb>
    <v>0</v>
  </rv>
  <rv s="0">
    <fb>272.62</fb>
    <v>1</v>
  </rv>
  <rv s="0">
    <fb>273.6499</fb>
    <v>1</v>
  </rv>
  <rv s="0">
    <fb>267.3</fb>
    <v>1</v>
  </rv>
  <rv s="0">
    <fb>3159924</fb>
    <v>2</v>
  </rv>
  <rv s="0">
    <fb>45925</fb>
    <v>0</v>
  </rv>
  <rv s="0">
    <fb>272.935</fb>
    <v>1</v>
  </rv>
  <rv s="0">
    <fb>284.23</fb>
    <v>1</v>
  </rv>
  <rv s="0">
    <fb>271.14800000000002</fb>
    <v>1</v>
  </rv>
  <rv s="0">
    <fb>11506192</fb>
    <v>2</v>
  </rv>
  <rv s="0">
    <fb>45926</fb>
    <v>0</v>
  </rv>
  <rv s="0">
    <fb>284.31</fb>
    <v>1</v>
  </rv>
  <rv s="0">
    <fb>280.51</fb>
    <v>1</v>
  </rv>
  <rv s="0">
    <fb>288.85000000000002</fb>
    <v>1</v>
  </rv>
  <rv s="0">
    <fb>280.11</fb>
    <v>1</v>
  </rv>
  <rv s="0">
    <fb>9063938</fb>
    <v>2</v>
  </rv>
  <rv s="0">
    <fb>45929</fb>
    <v>0</v>
  </rv>
  <rv s="0">
    <fb>279.8</fb>
    <v>1</v>
  </rv>
  <rv s="0">
    <fb>286</fb>
    <v>1</v>
  </rv>
  <rv s="0">
    <fb>279.66000000000003</fb>
    <v>1</v>
  </rv>
  <rv s="0">
    <fb>6022125</fb>
    <v>2</v>
  </rv>
  <rv s="0">
    <fb>45930</fb>
    <v>0</v>
  </rv>
  <rv s="0">
    <fb>282.16000000000003</fb>
    <v>1</v>
  </rv>
  <rv s="0">
    <fb>280.88</fb>
    <v>1</v>
  </rv>
  <rv s="0">
    <fb>286.02499999999998</fb>
    <v>1</v>
  </rv>
  <rv s="0">
    <fb>280.52</fb>
    <v>1</v>
  </rv>
  <rv s="0">
    <fb>5926924</fb>
    <v>2</v>
  </rv>
  <rv s="0">
    <fb>45931</fb>
    <v>0</v>
  </rv>
  <rv s="0">
    <fb>286.49</fb>
    <v>1</v>
  </rv>
  <rv s="0">
    <fb>280.2</fb>
    <v>1</v>
  </rv>
  <rv s="0">
    <fb>286.58999999999997</fb>
    <v>1</v>
  </rv>
  <rv s="0">
    <fb>280.14999999999998</fb>
    <v>1</v>
  </rv>
  <rv s="0">
    <fb>4381338</fb>
    <v>2</v>
  </rv>
  <rv s="0">
    <fb>45932</fb>
    <v>0</v>
  </rv>
  <rv s="0">
    <fb>286.72000000000003</fb>
    <v>1</v>
  </rv>
  <rv s="0">
    <fb>285.79000000000002</fb>
    <v>1</v>
  </rv>
  <rv s="0">
    <fb>288.54000000000002</fb>
    <v>1</v>
  </rv>
  <rv s="0">
    <fb>282.79000000000002</fb>
    <v>1</v>
  </rv>
  <rv s="0">
    <fb>3814232</fb>
    <v>2</v>
  </rv>
  <rv s="0">
    <fb>45933</fb>
    <v>0</v>
  </rv>
  <rv s="0">
    <fb>288.37</fb>
    <v>1</v>
  </rv>
  <rv s="0">
    <fb>287.5</fb>
    <v>1</v>
  </rv>
  <rv s="0">
    <fb>293.32</fb>
    <v>1</v>
  </rv>
  <rv s="0">
    <fb>287.3</fb>
    <v>1</v>
  </rv>
  <rv s="0">
    <fb>4375082</fb>
    <v>2</v>
  </rv>
  <rv s="0">
    <fb>45936</fb>
    <v>0</v>
  </rv>
  <rv s="0">
    <fb>289.42</fb>
    <v>1</v>
  </rv>
  <rv s="0">
    <fb>288.61</fb>
    <v>1</v>
  </rv>
  <rv s="0">
    <fb>291.45</fb>
    <v>1</v>
  </rv>
  <rv s="0">
    <fb>287.8</fb>
    <v>1</v>
  </rv>
  <rv s="0">
    <fb>2881947</fb>
    <v>2</v>
  </rv>
  <rv s="0">
    <fb>45937</fb>
    <v>0</v>
  </rv>
  <rv s="0">
    <fb>293.87</fb>
    <v>1</v>
  </rv>
  <rv s="0">
    <fb>295.55</fb>
    <v>1</v>
  </rv>
  <rv s="0">
    <fb>301.04250000000002</fb>
    <v>1</v>
  </rv>
  <rv s="0">
    <fb>293.28500000000003</fb>
    <v>1</v>
  </rv>
  <rv s="0">
    <fb>7190126</fb>
    <v>2</v>
  </rv>
  <rv s="0">
    <fb>45938</fb>
    <v>0</v>
  </rv>
  <rv s="0">
    <fb>289.45999999999998</fb>
    <v>1</v>
  </rv>
  <rv s="0">
    <fb>294.16000000000003</fb>
    <v>1</v>
  </rv>
  <rv s="0">
    <fb>294.2</fb>
    <v>1</v>
  </rv>
  <rv s="0">
    <fb>286.47300000000001</fb>
    <v>1</v>
  </rv>
  <rv s="0">
    <fb>5297030</fb>
    <v>2</v>
  </rv>
  <rv s="0">
    <fb>45939</fb>
    <v>0</v>
  </rv>
  <rv s="0">
    <fb>288.23</fb>
    <v>1</v>
  </rv>
  <rv s="0">
    <fb>289.82</fb>
    <v>1</v>
  </rv>
  <rv s="0">
    <fb>290.13</fb>
    <v>1</v>
  </rv>
  <rv s="0">
    <fb>283.32</fb>
    <v>1</v>
  </rv>
  <rv s="0">
    <fb>4912375</fb>
    <v>2</v>
  </rv>
  <rv s="0">
    <fb>45940</fb>
    <v>0</v>
  </rv>
  <rv s="0">
    <fb>277.82</fb>
    <v>1</v>
  </rv>
  <rv s="0">
    <fb>288.97000000000003</fb>
    <v>1</v>
  </rv>
  <rv s="0">
    <fb>290.38499999999999</fb>
    <v>1</v>
  </rv>
  <rv s="0">
    <fb>277.5</fb>
    <v>1</v>
  </rv>
  <rv s="0">
    <fb>4508506</fb>
    <v>2</v>
  </rv>
  <rv s="0">
    <fb>45943</fb>
    <v>0</v>
  </rv>
  <rv s="0">
    <fb>279.79000000000002</fb>
    <v>1</v>
  </rv>
  <rv s="0">
    <fb>282.43990000000002</fb>
    <v>1</v>
  </rv>
  <rv s="0">
    <fb>274.64</fb>
    <v>1</v>
  </rv>
  <rv s="0">
    <fb>4333836</fb>
    <v>2</v>
  </rv>
  <rv s="0">
    <fb>45944</fb>
    <v>0</v>
  </rv>
  <rv s="0">
    <fb>276.14999999999998</fb>
    <v>1</v>
  </rv>
  <rv s="0">
    <fb>275.52</fb>
    <v>1</v>
  </rv>
  <rv s="0">
    <fb>277.52999999999997</fb>
    <v>1</v>
  </rv>
  <rv s="0">
    <fb>272.54689999999999</fb>
    <v>1</v>
  </rv>
  <rv s="0">
    <fb>3058149</fb>
    <v>2</v>
  </rv>
  <rv s="0">
    <fb>45945</fb>
    <v>0</v>
  </rv>
  <rv s="0">
    <fb>280.75</fb>
    <v>1</v>
  </rv>
  <rv s="0">
    <fb>278.38</fb>
    <v>1</v>
  </rv>
  <rv s="0">
    <fb>285.45</fb>
    <v>1</v>
  </rv>
  <rv s="0">
    <fb>277</fb>
    <v>1</v>
  </rv>
  <rv s="0">
    <fb>3346753</fb>
    <v>2</v>
  </rv>
  <rv s="0">
    <fb>45946</fb>
    <v>0</v>
  </rv>
  <rv s="0">
    <fb>275.97000000000003</fb>
    <v>1</v>
  </rv>
  <rv s="0">
    <fb>281.11</fb>
    <v>1</v>
  </rv>
  <rv s="0">
    <fb>282.56</fb>
    <v>1</v>
  </rv>
  <rv s="0">
    <fb>275.60000000000002</fb>
    <v>1</v>
  </rv>
  <rv s="0">
    <fb>2956923</fb>
    <v>2</v>
  </rv>
  <rv s="0">
    <fb>45947</fb>
    <v>0</v>
  </rv>
  <rv s="0">
    <fb>281.27999999999997</fb>
    <v>1</v>
  </rv>
  <rv s="0">
    <fb>283.39999999999998</fb>
    <v>1</v>
  </rv>
  <rv s="0">
    <fb>275.35000000000002</fb>
    <v>1</v>
  </rv>
  <rv s="0">
    <fb>5309565</fb>
    <v>2</v>
  </rv>
  <rv s="0">
    <fb>45950</fb>
    <v>0</v>
  </rv>
  <rv s="0">
    <fb>283.64999999999998</fb>
    <v>1</v>
  </rv>
  <rv s="0">
    <fb>285.5</fb>
    <v>1</v>
  </rv>
  <rv s="0">
    <fb>280.95999999999998</fb>
    <v>1</v>
  </rv>
  <rv s="0">
    <fb>3494336</fb>
    <v>2</v>
  </rv>
  <rv s="0">
    <fb>45951</fb>
    <v>0</v>
  </rv>
  <rv s="0">
    <fb>282.05</fb>
    <v>1</v>
  </rv>
  <rv s="0">
    <fb>283.31</fb>
    <v>1</v>
  </rv>
  <rv s="0">
    <fb>285.31</fb>
    <v>1</v>
  </rv>
  <rv s="0">
    <fb>281.60000000000002</fb>
    <v>1</v>
  </rv>
  <rv s="0">
    <fb>4080981</fb>
    <v>2</v>
  </rv>
  <rv s="0">
    <fb>45952</fb>
    <v>0</v>
  </rv>
  <rv s="0">
    <fb>287.51</fb>
    <v>1</v>
  </rv>
  <rv s="0">
    <fb>281.99</fb>
    <v>1</v>
  </rv>
  <rv s="0">
    <fb>289.17</fb>
    <v>1</v>
  </rv>
  <rv s="0">
    <fb>281.35000000000002</fb>
    <v>1</v>
  </rv>
  <rv s="0">
    <fb>10538480</fb>
    <v>2</v>
  </rv>
  <rv s="0">
    <fb>45953</fb>
    <v>0</v>
  </rv>
  <rv s="0">
    <fb>264.95</fb>
    <v>1</v>
  </rv>
  <rv s="0">
    <fb>285.57909999999998</fb>
    <v>1</v>
  </rv>
  <rv s="0">
    <fb>263.56229999999999</fb>
    <v>1</v>
  </rv>
  <rv s="0">
    <fb>16676394</fb>
    <v>2</v>
  </rv>
  <rv s="0">
    <fb>45954</fb>
    <v>0</v>
  </rv>
  <rv s="0">
    <fb>307.45999999999998</fb>
    <v>1</v>
  </rv>
  <rv s="0">
    <fb>310.75</fb>
    <v>1</v>
  </rv>
  <rv s="0">
    <fb>16914243</fb>
    <v>2</v>
  </rv>
  <rv s="0">
    <fb>45957</fb>
    <v>0</v>
  </rv>
  <rv s="0">
    <fb>313.08999999999997</fb>
    <v>1</v>
  </rv>
  <rv s="0">
    <fb>307.8</fb>
    <v>1</v>
  </rv>
  <rv s="0">
    <fb>313.5</fb>
    <v>1</v>
  </rv>
  <rv s="0">
    <fb>302.88</fb>
    <v>1</v>
  </rv>
  <rv s="0">
    <fb>9868151</fb>
    <v>2</v>
  </rv>
  <rv s="0">
    <fb>45958</fb>
    <v>0</v>
  </rv>
  <rv s="0">
    <fb>312.57</fb>
    <v>1</v>
  </rv>
  <rv s="0">
    <fb>312.60000000000002</fb>
    <v>1</v>
  </rv>
  <rv s="0">
    <fb>319.35000000000002</fb>
    <v>1</v>
  </rv>
  <rv s="0">
    <fb>311.41000000000003</fb>
    <v>1</v>
  </rv>
  <rv s="0">
    <fb>6044770</fb>
    <v>2</v>
  </rv>
  <rv s="0">
    <fb>45959</fb>
    <v>0</v>
  </rv>
  <rv s="0">
    <fb>308.20999999999998</fb>
    <v>1</v>
  </rv>
  <rv s="0">
    <fb>312.79000000000002</fb>
    <v>1</v>
  </rv>
  <rv s="0">
    <fb>314.33</fb>
    <v>1</v>
  </rv>
  <rv s="0">
    <fb>307.52</fb>
    <v>1</v>
  </rv>
  <rv s="0">
    <fb>4135948</fb>
    <v>2</v>
  </rv>
  <rv s="0">
    <fb>45960</fb>
    <v>0</v>
  </rv>
  <rv s="0">
    <fb>310.06</fb>
    <v>1</v>
  </rv>
  <rv s="0">
    <fb>306.64999999999998</fb>
    <v>1</v>
  </rv>
  <rv s="0">
    <fb>313.75</fb>
    <v>1</v>
  </rv>
  <rv s="0">
    <fb>305.02</fb>
    <v>1</v>
  </rv>
  <rv s="0">
    <fb>4694275</fb>
    <v>2</v>
  </rv>
  <rv s="0">
    <fb>45961</fb>
    <v>0</v>
  </rv>
  <rv s="0">
    <fb>307.41000000000003</fb>
    <v>1</v>
  </rv>
  <rv s="0">
    <fb>312</fb>
    <v>1</v>
  </rv>
  <rv s="0">
    <fb>301.63</fb>
    <v>1</v>
  </rv>
  <rv s="0">
    <fb>7697499</fb>
    <v>2</v>
  </rv>
  <rv s="0">
    <fb>45964</fb>
    <v>0</v>
  </rv>
  <rv s="0">
    <fb>304.73</fb>
    <v>1</v>
  </rv>
  <rv s="0">
    <fb>308</fb>
    <v>1</v>
  </rv>
  <rv s="0">
    <fb>312.14109999999999</fb>
    <v>1</v>
  </rv>
  <rv s="0">
    <fb>304.23</fb>
    <v>1</v>
  </rv>
  <rv s="0">
    <fb>4957958</fb>
    <v>2</v>
  </rv>
  <rv s="0">
    <fb>45965</fb>
    <v>0</v>
  </rv>
  <rv s="0">
    <fb>300.85000000000002</fb>
    <v>1</v>
  </rv>
  <rv s="0">
    <fb>300</fb>
    <v>1</v>
  </rv>
  <rv s="0">
    <fb>303.17</fb>
    <v>1</v>
  </rv>
  <rv s="0">
    <fb>296</fb>
    <v>1</v>
  </rv>
  <rv s="0">
    <fb>5677330</fb>
    <v>2</v>
  </rv>
  <rv s="0">
    <fb>45966</fb>
    <v>0</v>
  </rv>
  <rv s="0">
    <fb>306.77</fb>
    <v>1</v>
  </rv>
  <rv s="0">
    <fb>301.38</fb>
    <v>1</v>
  </rv>
  <rv s="0">
    <fb>307.2</fb>
    <v>1</v>
  </rv>
  <rv s="0">
    <fb>299.70999999999998</fb>
    <v>1</v>
  </rv>
  <rv s="0">
    <fb>4650368</fb>
    <v>2</v>
  </rv>
  <rv s="0">
    <fb>45967</fb>
    <v>0</v>
  </rv>
  <rv s="0">
    <fb>312.42</fb>
    <v>1</v>
  </rv>
  <rv s="0">
    <fb>306.75</fb>
    <v>1</v>
  </rv>
  <rv s="0">
    <fb>315.44</fb>
    <v>1</v>
  </rv>
  <rv s="0">
    <fb>301.08999999999997</fb>
    <v>1</v>
  </rv>
  <rv s="0">
    <fb>6818521</fb>
    <v>2</v>
  </rv>
  <rv s="0">
    <fb>45968</fb>
    <v>0</v>
  </rv>
  <rv s="0">
    <fb>306.38</fb>
    <v>1</v>
  </rv>
  <rv s="0">
    <fb>309.68</fb>
    <v>1</v>
  </rv>
  <rv s="0">
    <fb>310</fb>
    <v>1</v>
  </rv>
  <rv s="0">
    <fb>302.63010000000003</fb>
    <v>1</v>
  </rv>
  <rv s="0">
    <fb>5070773</fb>
    <v>2</v>
  </rv>
  <rv s="0">
    <fb>45971</fb>
    <v>0</v>
  </rv>
  <rv s="0">
    <fb>309.13</fb>
    <v>1</v>
  </rv>
  <rv s="0">
    <fb>306.82</fb>
    <v>1</v>
  </rv>
  <rv s="0">
    <fb>309.94</fb>
    <v>1</v>
  </rv>
  <rv s="0">
    <fb>2975188</fb>
    <v>2</v>
  </rv>
  <rv s="1">
    <v>3</v>
    <v>IBM</v>
    <v>Daily</v>
    <v>45658</v>
    <v>45972</v>
    <v>0</v>
    <v>1</v>
    <v>638983296000000000,638984983886569052,0</v>
    <v>0</v>
    <v>a1v6nm</v>
    <v>XNYS:IBM</v>
    <v>1</v>
    <v>2</v>
    <v>3</v>
    <v>4</v>
    <v>5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Open" t="a"/>
    <k n="High" t="a"/>
    <k n="Low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2</v>
      <v>1</v>
      <v>2</v>
      <v>2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Low" t="i"/>
    <k n="Date" t="i"/>
    <k n="High" t="i"/>
    <k n="Open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39527-EE66-4031-AF83-6C32705825B4}">
  <dimension ref="A1:L216"/>
  <sheetViews>
    <sheetView workbookViewId="0">
      <selection activeCell="K1" activeCellId="1" sqref="A1:A1048576 K1:K1048576"/>
    </sheetView>
  </sheetViews>
  <sheetFormatPr defaultRowHeight="15" x14ac:dyDescent="0.25"/>
  <cols>
    <col min="1" max="1" width="9.7109375" bestFit="1" customWidth="1"/>
    <col min="6" max="6" width="11.140625" bestFit="1" customWidth="1"/>
    <col min="7" max="8" width="9.140625" style="2"/>
    <col min="9" max="9" width="17.28515625" style="3" bestFit="1" customWidth="1"/>
    <col min="10" max="10" width="8.7109375" bestFit="1" customWidth="1"/>
    <col min="11" max="11" width="14.28515625" style="2" bestFit="1" customWidth="1"/>
  </cols>
  <sheetData>
    <row r="1" spans="1:11" ht="15.75" thickBot="1" x14ac:dyDescent="0.3">
      <c r="A1" s="4" t="str" cm="1">
        <f t="array" aca="1" ref="A1:F216" ca="1">_xlfn.STOCKHISTORY("IBM", DATE(YEAR(TODAY()),1,1), TODAY(), 0, 1, 0, 1, 2, 3, 4, 5)</f>
        <v>Date</v>
      </c>
      <c r="B1" s="4" t="str">
        <f ca="1"/>
        <v>Close</v>
      </c>
      <c r="C1" s="4" t="str">
        <f ca="1"/>
        <v>Open</v>
      </c>
      <c r="D1" s="4" t="str">
        <f ca="1"/>
        <v>High</v>
      </c>
      <c r="E1" s="4" t="str">
        <f ca="1"/>
        <v>Low</v>
      </c>
      <c r="F1" s="4" t="str">
        <f ca="1"/>
        <v>Volume</v>
      </c>
      <c r="G1" s="5" t="s">
        <v>0</v>
      </c>
      <c r="H1" s="5" t="s">
        <v>1</v>
      </c>
      <c r="I1" s="6" t="s">
        <v>2</v>
      </c>
      <c r="J1" s="4" t="s">
        <v>3</v>
      </c>
      <c r="K1" s="5" t="s">
        <v>4</v>
      </c>
    </row>
    <row r="2" spans="1:11" ht="15.75" thickTop="1" x14ac:dyDescent="0.25">
      <c r="A2" vm="1">
        <f ca="1"/>
        <v>45659</v>
      </c>
      <c r="B2" vm="2">
        <f ca="1"/>
        <v>219.94</v>
      </c>
      <c r="C2" vm="3">
        <f ca="1"/>
        <v>221.82</v>
      </c>
      <c r="D2" vm="4">
        <f ca="1"/>
        <v>222.49</v>
      </c>
      <c r="E2" vm="5">
        <f ca="1"/>
        <v>217.6</v>
      </c>
      <c r="F2" vm="6">
        <f ca="1"/>
        <v>2579498</v>
      </c>
      <c r="I2" s="3">
        <f ca="1">(B2/$B$2)-1</f>
        <v>0</v>
      </c>
      <c r="J2">
        <f ca="1">D2-E2</f>
        <v>4.8900000000000148</v>
      </c>
    </row>
    <row r="3" spans="1:11" x14ac:dyDescent="0.25">
      <c r="A3" vm="7">
        <f ca="1"/>
        <v>45660</v>
      </c>
      <c r="B3" vm="8">
        <f ca="1"/>
        <v>222.65</v>
      </c>
      <c r="C3" vm="9">
        <f ca="1"/>
        <v>220.55</v>
      </c>
      <c r="D3" vm="10">
        <f ca="1"/>
        <v>223.66</v>
      </c>
      <c r="E3" vm="9">
        <f ca="1"/>
        <v>220.55</v>
      </c>
      <c r="F3" vm="11">
        <f ca="1"/>
        <v>3873578</v>
      </c>
      <c r="I3" s="3">
        <f t="shared" ref="I3:I66" ca="1" si="0">(B3/$B$2)-1</f>
        <v>1.2321542238792338E-2</v>
      </c>
      <c r="J3">
        <f t="shared" ref="J3:J66" ca="1" si="1">D3-E3</f>
        <v>3.1099999999999852</v>
      </c>
    </row>
    <row r="4" spans="1:11" x14ac:dyDescent="0.25">
      <c r="A4" vm="12">
        <f ca="1"/>
        <v>45663</v>
      </c>
      <c r="B4" vm="13">
        <f ca="1"/>
        <v>222.67</v>
      </c>
      <c r="C4" vm="14">
        <f ca="1"/>
        <v>223</v>
      </c>
      <c r="D4" vm="15">
        <f ca="1"/>
        <v>224.35</v>
      </c>
      <c r="E4" vm="16">
        <f ca="1"/>
        <v>220.75</v>
      </c>
      <c r="F4" vm="17">
        <f ca="1"/>
        <v>2847128</v>
      </c>
      <c r="I4" s="3">
        <f t="shared" ca="1" si="0"/>
        <v>1.2412476129853633E-2</v>
      </c>
      <c r="J4">
        <f t="shared" ca="1" si="1"/>
        <v>3.5999999999999943</v>
      </c>
    </row>
    <row r="5" spans="1:11" x14ac:dyDescent="0.25">
      <c r="A5" vm="18">
        <f ca="1"/>
        <v>45664</v>
      </c>
      <c r="B5" vm="19">
        <f ca="1"/>
        <v>223.96</v>
      </c>
      <c r="C5" vm="20">
        <f ca="1"/>
        <v>223.35</v>
      </c>
      <c r="D5" vm="21">
        <f ca="1"/>
        <v>226.71100000000001</v>
      </c>
      <c r="E5" vm="22">
        <f ca="1"/>
        <v>222.83</v>
      </c>
      <c r="F5" vm="23">
        <f ca="1"/>
        <v>3299701</v>
      </c>
      <c r="I5" s="3">
        <f t="shared" ca="1" si="0"/>
        <v>1.8277712103300869E-2</v>
      </c>
      <c r="J5">
        <f t="shared" ca="1" si="1"/>
        <v>3.8810000000000002</v>
      </c>
    </row>
    <row r="6" spans="1:11" x14ac:dyDescent="0.25">
      <c r="A6" vm="24">
        <f ca="1"/>
        <v>45665</v>
      </c>
      <c r="B6" vm="25">
        <f ca="1"/>
        <v>223.18</v>
      </c>
      <c r="C6" vm="26">
        <f ca="1"/>
        <v>223.91</v>
      </c>
      <c r="D6" vm="27">
        <f ca="1"/>
        <v>224.9</v>
      </c>
      <c r="E6" vm="28">
        <f ca="1"/>
        <v>220.83</v>
      </c>
      <c r="F6" vm="29">
        <f ca="1"/>
        <v>2619768</v>
      </c>
      <c r="I6" s="3">
        <f t="shared" ca="1" si="0"/>
        <v>1.4731290351914117E-2</v>
      </c>
      <c r="J6">
        <f t="shared" ca="1" si="1"/>
        <v>4.0699999999999932</v>
      </c>
    </row>
    <row r="7" spans="1:11" x14ac:dyDescent="0.25">
      <c r="A7" vm="30">
        <f ca="1"/>
        <v>45667</v>
      </c>
      <c r="B7" vm="31">
        <f ca="1"/>
        <v>219.75</v>
      </c>
      <c r="C7" vm="32">
        <f ca="1"/>
        <v>222</v>
      </c>
      <c r="D7" vm="33">
        <f ca="1"/>
        <v>222.43</v>
      </c>
      <c r="E7" vm="34">
        <f ca="1"/>
        <v>216.8</v>
      </c>
      <c r="F7" vm="35">
        <f ca="1"/>
        <v>3570497</v>
      </c>
      <c r="I7" s="3">
        <f t="shared" ca="1" si="0"/>
        <v>-8.6387196508141972E-4</v>
      </c>
      <c r="J7">
        <f t="shared" ca="1" si="1"/>
        <v>5.6299999999999955</v>
      </c>
    </row>
    <row r="8" spans="1:11" x14ac:dyDescent="0.25">
      <c r="A8" vm="36">
        <f ca="1"/>
        <v>45670</v>
      </c>
      <c r="B8" vm="37">
        <f ca="1"/>
        <v>217.4</v>
      </c>
      <c r="C8" vm="38">
        <f ca="1"/>
        <v>217.89</v>
      </c>
      <c r="D8" vm="39">
        <f ca="1"/>
        <v>219.59</v>
      </c>
      <c r="E8" vm="40">
        <f ca="1"/>
        <v>214.75</v>
      </c>
      <c r="F8" vm="41">
        <f ca="1"/>
        <v>3716816</v>
      </c>
      <c r="I8" s="3">
        <f t="shared" ca="1" si="0"/>
        <v>-1.1548604164772214E-2</v>
      </c>
      <c r="J8">
        <f t="shared" ca="1" si="1"/>
        <v>4.8400000000000034</v>
      </c>
    </row>
    <row r="9" spans="1:11" x14ac:dyDescent="0.25">
      <c r="A9" vm="42">
        <f ca="1"/>
        <v>45671</v>
      </c>
      <c r="B9" vm="43">
        <f ca="1"/>
        <v>217.75</v>
      </c>
      <c r="C9" vm="44">
        <f ca="1"/>
        <v>218</v>
      </c>
      <c r="D9" vm="45">
        <f ca="1"/>
        <v>218.125</v>
      </c>
      <c r="E9" vm="46">
        <f ca="1"/>
        <v>214.61</v>
      </c>
      <c r="F9" vm="47">
        <f ca="1"/>
        <v>3485829</v>
      </c>
      <c r="I9" s="3">
        <f t="shared" ca="1" si="0"/>
        <v>-9.9572610712012066E-3</v>
      </c>
      <c r="J9">
        <f t="shared" ca="1" si="1"/>
        <v>3.5149999999999864</v>
      </c>
    </row>
    <row r="10" spans="1:11" x14ac:dyDescent="0.25">
      <c r="A10" vm="48">
        <f ca="1"/>
        <v>45672</v>
      </c>
      <c r="B10" vm="49">
        <f ca="1"/>
        <v>220.03</v>
      </c>
      <c r="C10" vm="50">
        <f ca="1"/>
        <v>220.87</v>
      </c>
      <c r="D10" vm="51">
        <f ca="1"/>
        <v>221.67609999999999</v>
      </c>
      <c r="E10" vm="52">
        <f ca="1"/>
        <v>218.01</v>
      </c>
      <c r="F10" vm="53">
        <f ca="1"/>
        <v>2951825</v>
      </c>
      <c r="I10" s="3">
        <f t="shared" ca="1" si="0"/>
        <v>4.0920250977549699E-4</v>
      </c>
      <c r="J10">
        <f t="shared" ca="1" si="1"/>
        <v>3.6661000000000001</v>
      </c>
    </row>
    <row r="11" spans="1:11" x14ac:dyDescent="0.25">
      <c r="A11" vm="54">
        <f ca="1"/>
        <v>45673</v>
      </c>
      <c r="B11" vm="55">
        <f ca="1"/>
        <v>222.66</v>
      </c>
      <c r="C11" vm="56">
        <f ca="1"/>
        <v>219.69</v>
      </c>
      <c r="D11" vm="57">
        <f ca="1"/>
        <v>222.68</v>
      </c>
      <c r="E11" vm="58">
        <f ca="1"/>
        <v>217.38</v>
      </c>
      <c r="F11" vm="59">
        <f ca="1"/>
        <v>3329060</v>
      </c>
      <c r="I11" s="3">
        <f t="shared" ca="1" si="0"/>
        <v>1.2367009184323097E-2</v>
      </c>
      <c r="J11">
        <f t="shared" ca="1" si="1"/>
        <v>5.3000000000000114</v>
      </c>
    </row>
    <row r="12" spans="1:11" x14ac:dyDescent="0.25">
      <c r="A12" vm="60">
        <f ca="1"/>
        <v>45674</v>
      </c>
      <c r="B12" vm="61">
        <f ca="1"/>
        <v>224.79</v>
      </c>
      <c r="C12" vm="62">
        <f ca="1"/>
        <v>225.95500000000001</v>
      </c>
      <c r="D12" vm="62">
        <f ca="1"/>
        <v>225.95500000000001</v>
      </c>
      <c r="E12" vm="63">
        <f ca="1"/>
        <v>223.64</v>
      </c>
      <c r="F12" vm="64">
        <f ca="1"/>
        <v>5506837</v>
      </c>
      <c r="I12" s="3">
        <f t="shared" ca="1" si="0"/>
        <v>2.2051468582340528E-2</v>
      </c>
      <c r="J12">
        <f t="shared" ca="1" si="1"/>
        <v>2.3150000000000261</v>
      </c>
    </row>
    <row r="13" spans="1:11" x14ac:dyDescent="0.25">
      <c r="A13" vm="65">
        <f ca="1"/>
        <v>45678</v>
      </c>
      <c r="B13" vm="66">
        <f ca="1"/>
        <v>224.26</v>
      </c>
      <c r="C13" vm="67">
        <f ca="1"/>
        <v>224.99</v>
      </c>
      <c r="D13" vm="68">
        <f ca="1"/>
        <v>227.45</v>
      </c>
      <c r="E13" vm="69">
        <f ca="1"/>
        <v>222.83019999999999</v>
      </c>
      <c r="F13" vm="70">
        <f ca="1"/>
        <v>3982203</v>
      </c>
      <c r="I13" s="3">
        <f t="shared" ca="1" si="0"/>
        <v>1.9641720469218749E-2</v>
      </c>
      <c r="J13">
        <f t="shared" ca="1" si="1"/>
        <v>4.6197999999999979</v>
      </c>
    </row>
    <row r="14" spans="1:11" x14ac:dyDescent="0.25">
      <c r="A14" vm="71">
        <f ca="1"/>
        <v>45679</v>
      </c>
      <c r="B14" vm="72">
        <f ca="1"/>
        <v>223.26</v>
      </c>
      <c r="C14" vm="73">
        <f ca="1"/>
        <v>221.98</v>
      </c>
      <c r="D14" vm="74">
        <f ca="1"/>
        <v>224.4</v>
      </c>
      <c r="E14" vm="75">
        <f ca="1"/>
        <v>220.35</v>
      </c>
      <c r="F14" vm="76">
        <f ca="1"/>
        <v>4759490</v>
      </c>
      <c r="I14" s="3">
        <f t="shared" ca="1" si="0"/>
        <v>1.5095025916158855E-2</v>
      </c>
      <c r="J14">
        <f t="shared" ca="1" si="1"/>
        <v>4.0500000000000114</v>
      </c>
    </row>
    <row r="15" spans="1:11" x14ac:dyDescent="0.25">
      <c r="A15" vm="77">
        <f ca="1"/>
        <v>45680</v>
      </c>
      <c r="B15" vm="78">
        <f ca="1"/>
        <v>226.04</v>
      </c>
      <c r="C15" vm="79">
        <f ca="1"/>
        <v>223.94</v>
      </c>
      <c r="D15" vm="78">
        <f ca="1"/>
        <v>226.04</v>
      </c>
      <c r="E15" vm="80">
        <f ca="1"/>
        <v>223.15</v>
      </c>
      <c r="F15" vm="81">
        <f ca="1"/>
        <v>3619651</v>
      </c>
      <c r="I15" s="3">
        <f t="shared" ca="1" si="0"/>
        <v>2.7734836773665617E-2</v>
      </c>
      <c r="J15">
        <f t="shared" ca="1" si="1"/>
        <v>2.8899999999999864</v>
      </c>
    </row>
    <row r="16" spans="1:11" x14ac:dyDescent="0.25">
      <c r="A16" vm="82">
        <f ca="1"/>
        <v>45681</v>
      </c>
      <c r="B16" vm="83">
        <f ca="1"/>
        <v>224.8</v>
      </c>
      <c r="C16" vm="84">
        <f ca="1"/>
        <v>225.27</v>
      </c>
      <c r="D16" vm="85">
        <f ca="1"/>
        <v>226.81039999999999</v>
      </c>
      <c r="E16" vm="86">
        <f ca="1"/>
        <v>223.8</v>
      </c>
      <c r="F16" vm="87">
        <f ca="1"/>
        <v>3233293</v>
      </c>
      <c r="I16" s="3">
        <f t="shared" ca="1" si="0"/>
        <v>2.2096935527871286E-2</v>
      </c>
      <c r="J16">
        <f t="shared" ca="1" si="1"/>
        <v>3.0103999999999758</v>
      </c>
    </row>
    <row r="17" spans="1:12" x14ac:dyDescent="0.25">
      <c r="A17" vm="88">
        <f ca="1"/>
        <v>45684</v>
      </c>
      <c r="B17" vm="89">
        <f ca="1"/>
        <v>224.13</v>
      </c>
      <c r="C17" vm="90">
        <f ca="1"/>
        <v>222.19</v>
      </c>
      <c r="D17" vm="91">
        <f ca="1"/>
        <v>224.3</v>
      </c>
      <c r="E17" vm="92">
        <f ca="1"/>
        <v>219.84</v>
      </c>
      <c r="F17" vm="93">
        <f ca="1"/>
        <v>4898355</v>
      </c>
      <c r="I17" s="3">
        <f t="shared" ca="1" si="0"/>
        <v>1.9050650177321105E-2</v>
      </c>
      <c r="J17">
        <f t="shared" ca="1" si="1"/>
        <v>4.460000000000008</v>
      </c>
    </row>
    <row r="18" spans="1:12" x14ac:dyDescent="0.25">
      <c r="A18" vm="94">
        <f ca="1"/>
        <v>45685</v>
      </c>
      <c r="B18" vm="95">
        <f ca="1"/>
        <v>225.66</v>
      </c>
      <c r="C18" vm="96">
        <f ca="1"/>
        <v>224.32</v>
      </c>
      <c r="D18" vm="97">
        <f ca="1"/>
        <v>225.77</v>
      </c>
      <c r="E18" vm="98">
        <f ca="1"/>
        <v>221.77</v>
      </c>
      <c r="F18" vm="99">
        <f ca="1"/>
        <v>4485429</v>
      </c>
      <c r="I18" s="3">
        <f t="shared" ca="1" si="0"/>
        <v>2.6007092843502777E-2</v>
      </c>
      <c r="J18">
        <f t="shared" ca="1" si="1"/>
        <v>4</v>
      </c>
    </row>
    <row r="19" spans="1:12" x14ac:dyDescent="0.25">
      <c r="A19" vm="100">
        <f ca="1"/>
        <v>45686</v>
      </c>
      <c r="B19" vm="101">
        <f ca="1"/>
        <v>228.63</v>
      </c>
      <c r="C19" vm="102">
        <f ca="1"/>
        <v>225.62</v>
      </c>
      <c r="D19" vm="103">
        <f ca="1"/>
        <v>229.47</v>
      </c>
      <c r="E19" vm="104">
        <f ca="1"/>
        <v>223.73</v>
      </c>
      <c r="F19" vm="105">
        <f ca="1"/>
        <v>7079804</v>
      </c>
      <c r="I19" s="3">
        <f t="shared" ca="1" si="0"/>
        <v>3.9510775666090847E-2</v>
      </c>
      <c r="J19">
        <f t="shared" ca="1" si="1"/>
        <v>5.7400000000000091</v>
      </c>
    </row>
    <row r="20" spans="1:12" x14ac:dyDescent="0.25">
      <c r="A20" vm="106">
        <f ca="1"/>
        <v>45687</v>
      </c>
      <c r="B20" vm="107">
        <f ca="1"/>
        <v>258.27</v>
      </c>
      <c r="C20" vm="108">
        <f ca="1"/>
        <v>250</v>
      </c>
      <c r="D20" vm="109">
        <f ca="1"/>
        <v>261.8</v>
      </c>
      <c r="E20" vm="110">
        <f ca="1"/>
        <v>247.01</v>
      </c>
      <c r="F20" vm="111">
        <f ca="1"/>
        <v>15381890</v>
      </c>
      <c r="I20" s="3">
        <f t="shared" ca="1" si="0"/>
        <v>0.17427480221878677</v>
      </c>
      <c r="J20">
        <f t="shared" ca="1" si="1"/>
        <v>14.79000000000002</v>
      </c>
    </row>
    <row r="21" spans="1:12" x14ac:dyDescent="0.25">
      <c r="A21" vm="112">
        <f ca="1"/>
        <v>45688</v>
      </c>
      <c r="B21" vm="113">
        <f ca="1"/>
        <v>255.7</v>
      </c>
      <c r="C21" vm="114">
        <f ca="1"/>
        <v>256.05</v>
      </c>
      <c r="D21" vm="115">
        <f ca="1"/>
        <v>257.23500000000001</v>
      </c>
      <c r="E21" vm="116">
        <f ca="1"/>
        <v>251.89</v>
      </c>
      <c r="F21" vm="117">
        <f ca="1"/>
        <v>7203519</v>
      </c>
      <c r="G21" s="2">
        <f ca="1">AVERAGE(B2:B21)</f>
        <v>226.2765</v>
      </c>
      <c r="I21" s="3">
        <f t="shared" ca="1" si="0"/>
        <v>0.16258979721742284</v>
      </c>
      <c r="J21">
        <f t="shared" ca="1" si="1"/>
        <v>5.3450000000000273</v>
      </c>
      <c r="K21" s="2">
        <f ca="1">AVERAGE(J2:J21)</f>
        <v>4.6861150000000027</v>
      </c>
      <c r="L21" s="8"/>
    </row>
    <row r="22" spans="1:12" x14ac:dyDescent="0.25">
      <c r="A22" vm="118">
        <f ca="1"/>
        <v>45691</v>
      </c>
      <c r="B22" vm="119">
        <f ca="1"/>
        <v>260.73</v>
      </c>
      <c r="C22" vm="120">
        <f ca="1"/>
        <v>252.4</v>
      </c>
      <c r="D22" vm="121">
        <f ca="1"/>
        <v>262.06</v>
      </c>
      <c r="E22" vm="122">
        <f ca="1"/>
        <v>251.84</v>
      </c>
      <c r="F22" vm="123">
        <f ca="1"/>
        <v>8408523</v>
      </c>
      <c r="G22" s="2">
        <f t="shared" ref="G22:G85" ca="1" si="2">AVERAGE(B3:B22)</f>
        <v>228.31600000000009</v>
      </c>
      <c r="I22" s="3">
        <f t="shared" ca="1" si="0"/>
        <v>0.18545967081931436</v>
      </c>
      <c r="J22">
        <f t="shared" ca="1" si="1"/>
        <v>10.219999999999999</v>
      </c>
      <c r="K22" s="2">
        <f t="shared" ref="K22:K85" ca="1" si="3">AVERAGE(J3:J22)</f>
        <v>4.9526150000000015</v>
      </c>
    </row>
    <row r="23" spans="1:12" x14ac:dyDescent="0.25">
      <c r="A23" vm="124">
        <f ca="1"/>
        <v>45692</v>
      </c>
      <c r="B23" vm="125">
        <f ca="1"/>
        <v>264.45999999999998</v>
      </c>
      <c r="C23" vm="126">
        <f ca="1"/>
        <v>260</v>
      </c>
      <c r="D23" vm="127">
        <f ca="1"/>
        <v>265.25</v>
      </c>
      <c r="E23" vm="128">
        <f ca="1"/>
        <v>258.12329999999997</v>
      </c>
      <c r="F23" vm="129">
        <f ca="1"/>
        <v>6077652</v>
      </c>
      <c r="G23" s="2">
        <f t="shared" ca="1" si="2"/>
        <v>230.40649999999999</v>
      </c>
      <c r="I23" s="3">
        <f t="shared" ca="1" si="0"/>
        <v>0.20241884150222789</v>
      </c>
      <c r="J23">
        <f t="shared" ca="1" si="1"/>
        <v>7.126700000000028</v>
      </c>
      <c r="K23" s="2">
        <f t="shared" ca="1" si="3"/>
        <v>5.1534500000000039</v>
      </c>
    </row>
    <row r="24" spans="1:12" x14ac:dyDescent="0.25">
      <c r="A24" vm="130">
        <f ca="1"/>
        <v>45693</v>
      </c>
      <c r="B24" vm="131">
        <f ca="1"/>
        <v>263.3</v>
      </c>
      <c r="C24" vm="132">
        <f ca="1"/>
        <v>265.70999999999998</v>
      </c>
      <c r="D24" vm="133">
        <f ca="1"/>
        <v>265.72000000000003</v>
      </c>
      <c r="E24" vm="134">
        <f ca="1"/>
        <v>261.18</v>
      </c>
      <c r="F24" vm="135">
        <f ca="1"/>
        <v>6165096</v>
      </c>
      <c r="G24" s="2">
        <f t="shared" ca="1" si="2"/>
        <v>232.43800000000002</v>
      </c>
      <c r="I24" s="3">
        <f t="shared" ca="1" si="0"/>
        <v>0.19714467582067852</v>
      </c>
      <c r="J24">
        <f t="shared" ca="1" si="1"/>
        <v>4.5400000000000205</v>
      </c>
      <c r="K24" s="2">
        <f t="shared" ca="1" si="3"/>
        <v>5.2004500000000053</v>
      </c>
    </row>
    <row r="25" spans="1:12" x14ac:dyDescent="0.25">
      <c r="A25" vm="136">
        <f ca="1"/>
        <v>45694</v>
      </c>
      <c r="B25" vm="137">
        <f ca="1"/>
        <v>253.44</v>
      </c>
      <c r="C25" vm="138">
        <f ca="1"/>
        <v>262.98</v>
      </c>
      <c r="D25" vm="139">
        <f ca="1"/>
        <v>263.38</v>
      </c>
      <c r="E25" vm="140">
        <f ca="1"/>
        <v>252.73</v>
      </c>
      <c r="F25" vm="141">
        <f ca="1"/>
        <v>6128293</v>
      </c>
      <c r="G25" s="2">
        <f t="shared" ca="1" si="2"/>
        <v>233.91199999999998</v>
      </c>
      <c r="I25" s="3">
        <f t="shared" ca="1" si="0"/>
        <v>0.15231426752750754</v>
      </c>
      <c r="J25">
        <f t="shared" ca="1" si="1"/>
        <v>10.650000000000006</v>
      </c>
      <c r="K25" s="2">
        <f t="shared" ca="1" si="3"/>
        <v>5.5389000000000053</v>
      </c>
    </row>
    <row r="26" spans="1:12" x14ac:dyDescent="0.25">
      <c r="A26" vm="142">
        <f ca="1"/>
        <v>45695</v>
      </c>
      <c r="B26" vm="143">
        <f ca="1"/>
        <v>252.34</v>
      </c>
      <c r="C26" vm="144">
        <f ca="1"/>
        <v>255.28</v>
      </c>
      <c r="D26" vm="145">
        <f ca="1"/>
        <v>256.93</v>
      </c>
      <c r="E26" vm="146">
        <f ca="1"/>
        <v>252.02</v>
      </c>
      <c r="F26" vm="147">
        <f ca="1"/>
        <v>3370284</v>
      </c>
      <c r="G26" s="2">
        <f t="shared" ca="1" si="2"/>
        <v>235.36999999999998</v>
      </c>
      <c r="I26" s="3">
        <f t="shared" ca="1" si="0"/>
        <v>0.14731290351914161</v>
      </c>
      <c r="J26">
        <f t="shared" ca="1" si="1"/>
        <v>4.9099999999999966</v>
      </c>
      <c r="K26" s="2">
        <f t="shared" ca="1" si="3"/>
        <v>5.5809000000000051</v>
      </c>
    </row>
    <row r="27" spans="1:12" x14ac:dyDescent="0.25">
      <c r="A27" vm="148">
        <f ca="1"/>
        <v>45698</v>
      </c>
      <c r="B27" vm="149">
        <f ca="1"/>
        <v>249.27</v>
      </c>
      <c r="C27" vm="150">
        <f ca="1"/>
        <v>250.86</v>
      </c>
      <c r="D27" vm="151">
        <f ca="1"/>
        <v>251.95</v>
      </c>
      <c r="E27" vm="152">
        <f ca="1"/>
        <v>246.87</v>
      </c>
      <c r="F27" vm="153">
        <f ca="1"/>
        <v>3564400</v>
      </c>
      <c r="G27" s="2">
        <f t="shared" ca="1" si="2"/>
        <v>236.846</v>
      </c>
      <c r="I27" s="3">
        <f t="shared" ca="1" si="0"/>
        <v>0.13335455124124773</v>
      </c>
      <c r="J27">
        <f t="shared" ca="1" si="1"/>
        <v>5.0799999999999841</v>
      </c>
      <c r="K27" s="2">
        <f t="shared" ca="1" si="3"/>
        <v>5.5534000000000052</v>
      </c>
    </row>
    <row r="28" spans="1:12" x14ac:dyDescent="0.25">
      <c r="A28" vm="154">
        <f ca="1"/>
        <v>45699</v>
      </c>
      <c r="B28" vm="155">
        <f ca="1"/>
        <v>254.7</v>
      </c>
      <c r="C28" vm="156">
        <f ca="1"/>
        <v>251.1</v>
      </c>
      <c r="D28" vm="157">
        <f ca="1"/>
        <v>256.75</v>
      </c>
      <c r="E28" vm="158">
        <f ca="1"/>
        <v>250.58</v>
      </c>
      <c r="F28" vm="159">
        <f ca="1"/>
        <v>4801550</v>
      </c>
      <c r="G28" s="2">
        <f t="shared" ca="1" si="2"/>
        <v>238.71100000000001</v>
      </c>
      <c r="I28" s="3">
        <f t="shared" ca="1" si="0"/>
        <v>0.15804310266436294</v>
      </c>
      <c r="J28">
        <f t="shared" ca="1" si="1"/>
        <v>6.1699999999999875</v>
      </c>
      <c r="K28" s="2">
        <f t="shared" ca="1" si="3"/>
        <v>5.6199000000000039</v>
      </c>
    </row>
    <row r="29" spans="1:12" x14ac:dyDescent="0.25">
      <c r="A29" vm="160">
        <f ca="1"/>
        <v>45700</v>
      </c>
      <c r="B29" vm="161">
        <f ca="1"/>
        <v>255.81</v>
      </c>
      <c r="C29" vm="162">
        <f ca="1"/>
        <v>252.72</v>
      </c>
      <c r="D29" vm="163">
        <f ca="1"/>
        <v>256.39999999999998</v>
      </c>
      <c r="E29" vm="146">
        <f ca="1"/>
        <v>252.02</v>
      </c>
      <c r="F29" vm="164">
        <f ca="1"/>
        <v>3075308</v>
      </c>
      <c r="G29" s="2">
        <f t="shared" ca="1" si="2"/>
        <v>240.61400000000003</v>
      </c>
      <c r="I29" s="3">
        <f t="shared" ca="1" si="0"/>
        <v>0.16308993361825963</v>
      </c>
      <c r="J29">
        <f t="shared" ca="1" si="1"/>
        <v>4.379999999999967</v>
      </c>
      <c r="K29" s="2">
        <f t="shared" ca="1" si="3"/>
        <v>5.6631500000000035</v>
      </c>
    </row>
    <row r="30" spans="1:12" x14ac:dyDescent="0.25">
      <c r="A30" vm="165">
        <f ca="1"/>
        <v>45701</v>
      </c>
      <c r="B30" vm="166">
        <f ca="1"/>
        <v>259.19</v>
      </c>
      <c r="C30" vm="167">
        <f ca="1"/>
        <v>255.66</v>
      </c>
      <c r="D30" vm="168">
        <f ca="1"/>
        <v>259.27999999999997</v>
      </c>
      <c r="E30" vm="169">
        <f ca="1"/>
        <v>254.41</v>
      </c>
      <c r="F30" vm="170">
        <f ca="1"/>
        <v>4531538</v>
      </c>
      <c r="G30" s="2">
        <f t="shared" ca="1" si="2"/>
        <v>242.57200000000003</v>
      </c>
      <c r="I30" s="3">
        <f t="shared" ca="1" si="0"/>
        <v>0.17845776120760215</v>
      </c>
      <c r="J30">
        <f t="shared" ca="1" si="1"/>
        <v>4.8699999999999761</v>
      </c>
      <c r="K30" s="2">
        <f t="shared" ca="1" si="3"/>
        <v>5.7233450000000019</v>
      </c>
    </row>
    <row r="31" spans="1:12" x14ac:dyDescent="0.25">
      <c r="A31" vm="171">
        <f ca="1"/>
        <v>45702</v>
      </c>
      <c r="B31" vm="172">
        <f ca="1"/>
        <v>261.27999999999997</v>
      </c>
      <c r="C31" vm="173">
        <f ca="1"/>
        <v>259</v>
      </c>
      <c r="D31" vm="174">
        <f ca="1"/>
        <v>261.94</v>
      </c>
      <c r="E31" vm="175">
        <f ca="1"/>
        <v>257.91000000000003</v>
      </c>
      <c r="F31" vm="176">
        <f ca="1"/>
        <v>3925277</v>
      </c>
      <c r="G31" s="2">
        <f t="shared" ca="1" si="2"/>
        <v>244.50299999999999</v>
      </c>
      <c r="I31" s="3">
        <f t="shared" ca="1" si="0"/>
        <v>0.18796035282349721</v>
      </c>
      <c r="J31">
        <f t="shared" ca="1" si="1"/>
        <v>4.0299999999999727</v>
      </c>
      <c r="K31" s="2">
        <f t="shared" ca="1" si="3"/>
        <v>5.6598449999999998</v>
      </c>
    </row>
    <row r="32" spans="1:12" x14ac:dyDescent="0.25">
      <c r="A32" vm="177">
        <f ca="1"/>
        <v>45706</v>
      </c>
      <c r="B32" vm="178">
        <f ca="1"/>
        <v>263.07</v>
      </c>
      <c r="C32" vm="179">
        <f ca="1"/>
        <v>261.93</v>
      </c>
      <c r="D32" vm="180">
        <f ca="1"/>
        <v>263.96499999999997</v>
      </c>
      <c r="E32" vm="181">
        <f ca="1"/>
        <v>259.83</v>
      </c>
      <c r="F32" vm="182">
        <f ca="1"/>
        <v>4262812</v>
      </c>
      <c r="G32" s="2">
        <f t="shared" ca="1" si="2"/>
        <v>246.41699999999997</v>
      </c>
      <c r="I32" s="3">
        <f t="shared" ca="1" si="0"/>
        <v>0.19609893607347462</v>
      </c>
      <c r="J32">
        <f t="shared" ca="1" si="1"/>
        <v>4.1349999999999909</v>
      </c>
      <c r="K32" s="2">
        <f t="shared" ca="1" si="3"/>
        <v>5.7508449999999982</v>
      </c>
    </row>
    <row r="33" spans="1:11" x14ac:dyDescent="0.25">
      <c r="A33" vm="183">
        <f ca="1"/>
        <v>45707</v>
      </c>
      <c r="B33" vm="184">
        <f ca="1"/>
        <v>264.32</v>
      </c>
      <c r="C33" vm="185">
        <f ca="1"/>
        <v>262</v>
      </c>
      <c r="D33" vm="186">
        <f ca="1"/>
        <v>264.36</v>
      </c>
      <c r="E33" vm="187">
        <f ca="1"/>
        <v>260.08999999999997</v>
      </c>
      <c r="F33" vm="188">
        <f ca="1"/>
        <v>3718678</v>
      </c>
      <c r="G33" s="2">
        <f t="shared" ca="1" si="2"/>
        <v>248.42</v>
      </c>
      <c r="I33" s="3">
        <f t="shared" ca="1" si="0"/>
        <v>0.20178230426479948</v>
      </c>
      <c r="J33">
        <f t="shared" ca="1" si="1"/>
        <v>4.2700000000000387</v>
      </c>
      <c r="K33" s="2">
        <f t="shared" ca="1" si="3"/>
        <v>5.7333550000000004</v>
      </c>
    </row>
    <row r="34" spans="1:11" x14ac:dyDescent="0.25">
      <c r="A34" vm="189">
        <f ca="1"/>
        <v>45708</v>
      </c>
      <c r="B34" vm="190">
        <f ca="1"/>
        <v>264.74</v>
      </c>
      <c r="C34" vm="191">
        <f ca="1"/>
        <v>263.64999999999998</v>
      </c>
      <c r="D34" vm="192">
        <f ca="1"/>
        <v>265.08999999999997</v>
      </c>
      <c r="E34" vm="193">
        <f ca="1"/>
        <v>262.14999999999998</v>
      </c>
      <c r="F34" vm="194">
        <f ca="1"/>
        <v>4884805</v>
      </c>
      <c r="G34" s="2">
        <f t="shared" ca="1" si="2"/>
        <v>250.49399999999997</v>
      </c>
      <c r="I34" s="3">
        <f t="shared" ca="1" si="0"/>
        <v>0.20369191597708469</v>
      </c>
      <c r="J34">
        <f t="shared" ca="1" si="1"/>
        <v>2.9399999999999977</v>
      </c>
      <c r="K34" s="2">
        <f t="shared" ca="1" si="3"/>
        <v>5.6778549999999992</v>
      </c>
    </row>
    <row r="35" spans="1:11" x14ac:dyDescent="0.25">
      <c r="A35" vm="195">
        <f ca="1"/>
        <v>45709</v>
      </c>
      <c r="B35" vm="196">
        <f ca="1"/>
        <v>261.48</v>
      </c>
      <c r="C35" vm="197">
        <f ca="1"/>
        <v>263.84500000000003</v>
      </c>
      <c r="D35" vm="198">
        <f ca="1"/>
        <v>264.83</v>
      </c>
      <c r="E35" vm="199">
        <f ca="1"/>
        <v>261.10000000000002</v>
      </c>
      <c r="F35" vm="200">
        <f ca="1"/>
        <v>5667874</v>
      </c>
      <c r="G35" s="2">
        <f t="shared" ca="1" si="2"/>
        <v>252.26599999999999</v>
      </c>
      <c r="I35" s="3">
        <f t="shared" ca="1" si="0"/>
        <v>0.1888696917341095</v>
      </c>
      <c r="J35">
        <f t="shared" ca="1" si="1"/>
        <v>3.7299999999999613</v>
      </c>
      <c r="K35" s="2">
        <f t="shared" ca="1" si="3"/>
        <v>5.7198549999999981</v>
      </c>
    </row>
    <row r="36" spans="1:11" x14ac:dyDescent="0.25">
      <c r="A36" vm="201">
        <f ca="1"/>
        <v>45712</v>
      </c>
      <c r="B36" vm="202">
        <f ca="1"/>
        <v>261.87</v>
      </c>
      <c r="C36" vm="203">
        <f ca="1"/>
        <v>261.5</v>
      </c>
      <c r="D36" vm="197">
        <f ca="1"/>
        <v>263.84500000000003</v>
      </c>
      <c r="E36" vm="204">
        <f ca="1"/>
        <v>259.58</v>
      </c>
      <c r="F36" vm="205">
        <f ca="1"/>
        <v>4398107</v>
      </c>
      <c r="G36" s="2">
        <f t="shared" ca="1" si="2"/>
        <v>254.11950000000002</v>
      </c>
      <c r="I36" s="3">
        <f t="shared" ca="1" si="0"/>
        <v>0.19064290260980266</v>
      </c>
      <c r="J36">
        <f t="shared" ca="1" si="1"/>
        <v>4.2650000000000432</v>
      </c>
      <c r="K36" s="2">
        <f t="shared" ca="1" si="3"/>
        <v>5.7825850000000019</v>
      </c>
    </row>
    <row r="37" spans="1:11" x14ac:dyDescent="0.25">
      <c r="A37" vm="206">
        <f ca="1"/>
        <v>45713</v>
      </c>
      <c r="B37" vm="207">
        <f ca="1"/>
        <v>257.75</v>
      </c>
      <c r="C37" vm="208">
        <f ca="1"/>
        <v>261.08</v>
      </c>
      <c r="D37" vm="209">
        <f ca="1"/>
        <v>263.48</v>
      </c>
      <c r="E37" vm="210">
        <f ca="1"/>
        <v>256.77</v>
      </c>
      <c r="F37" vm="211">
        <f ca="1"/>
        <v>6292487</v>
      </c>
      <c r="G37" s="2">
        <f t="shared" ca="1" si="2"/>
        <v>255.80049999999997</v>
      </c>
      <c r="I37" s="3">
        <f t="shared" ca="1" si="0"/>
        <v>0.17191052105119575</v>
      </c>
      <c r="J37">
        <f t="shared" ca="1" si="1"/>
        <v>6.7100000000000364</v>
      </c>
      <c r="K37" s="2">
        <f t="shared" ca="1" si="3"/>
        <v>5.8950850000000035</v>
      </c>
    </row>
    <row r="38" spans="1:11" x14ac:dyDescent="0.25">
      <c r="A38" vm="212">
        <f ca="1"/>
        <v>45714</v>
      </c>
      <c r="B38" vm="213">
        <f ca="1"/>
        <v>255.84</v>
      </c>
      <c r="C38" vm="214">
        <f ca="1"/>
        <v>258.10000000000002</v>
      </c>
      <c r="D38" vm="215">
        <f ca="1"/>
        <v>258.32499999999999</v>
      </c>
      <c r="E38" vm="216">
        <f ca="1"/>
        <v>254.41040000000001</v>
      </c>
      <c r="F38" vm="217">
        <f ca="1"/>
        <v>3460124</v>
      </c>
      <c r="G38" s="2">
        <f t="shared" ca="1" si="2"/>
        <v>257.30949999999996</v>
      </c>
      <c r="I38" s="3">
        <f t="shared" ca="1" si="0"/>
        <v>0.16322633445485124</v>
      </c>
      <c r="J38">
        <f t="shared" ca="1" si="1"/>
        <v>3.9145999999999788</v>
      </c>
      <c r="K38" s="2">
        <f t="shared" ca="1" si="3"/>
        <v>5.8908150000000017</v>
      </c>
    </row>
    <row r="39" spans="1:11" x14ac:dyDescent="0.25">
      <c r="A39" vm="218">
        <f ca="1"/>
        <v>45715</v>
      </c>
      <c r="B39" vm="219">
        <f ca="1"/>
        <v>253.23</v>
      </c>
      <c r="C39" vm="220">
        <f ca="1"/>
        <v>255.22</v>
      </c>
      <c r="D39" vm="221">
        <f ca="1"/>
        <v>257.63</v>
      </c>
      <c r="E39" vm="222">
        <f ca="1"/>
        <v>253.05</v>
      </c>
      <c r="F39" vm="223">
        <f ca="1"/>
        <v>3402234</v>
      </c>
      <c r="G39" s="2">
        <f t="shared" ca="1" si="2"/>
        <v>258.53949999999998</v>
      </c>
      <c r="I39" s="3">
        <f t="shared" ca="1" si="0"/>
        <v>0.15135946167136494</v>
      </c>
      <c r="J39">
        <f t="shared" ca="1" si="1"/>
        <v>4.5799999999999841</v>
      </c>
      <c r="K39" s="2">
        <f t="shared" ca="1" si="3"/>
        <v>5.832815000000001</v>
      </c>
    </row>
    <row r="40" spans="1:11" x14ac:dyDescent="0.25">
      <c r="A40" vm="224">
        <f ca="1"/>
        <v>45716</v>
      </c>
      <c r="B40" vm="225">
        <f ca="1"/>
        <v>252.44</v>
      </c>
      <c r="C40" vm="226">
        <f ca="1"/>
        <v>250.85499999999999</v>
      </c>
      <c r="D40" vm="227">
        <f ca="1"/>
        <v>252.8099</v>
      </c>
      <c r="E40" vm="228">
        <f ca="1"/>
        <v>246.54</v>
      </c>
      <c r="F40" vm="229">
        <f ca="1"/>
        <v>7988809</v>
      </c>
      <c r="G40" s="2">
        <f t="shared" ca="1" si="2"/>
        <v>258.24799999999999</v>
      </c>
      <c r="I40" s="3">
        <f t="shared" ca="1" si="0"/>
        <v>0.14776757297444765</v>
      </c>
      <c r="J40">
        <f t="shared" ca="1" si="1"/>
        <v>6.2699000000000069</v>
      </c>
      <c r="K40" s="2">
        <f t="shared" ca="1" si="3"/>
        <v>5.4068100000000001</v>
      </c>
    </row>
    <row r="41" spans="1:11" x14ac:dyDescent="0.25">
      <c r="A41" vm="230">
        <f ca="1"/>
        <v>45719</v>
      </c>
      <c r="B41" vm="231">
        <f ca="1"/>
        <v>250.19</v>
      </c>
      <c r="C41" vm="232">
        <f ca="1"/>
        <v>254.73500000000001</v>
      </c>
      <c r="D41" vm="233">
        <f ca="1"/>
        <v>255.99</v>
      </c>
      <c r="E41" vm="234">
        <f ca="1"/>
        <v>248.245</v>
      </c>
      <c r="F41" vm="235">
        <f ca="1"/>
        <v>2977699</v>
      </c>
      <c r="G41" s="2">
        <f t="shared" ca="1" si="2"/>
        <v>257.97249999999997</v>
      </c>
      <c r="I41" s="3">
        <f t="shared" ca="1" si="0"/>
        <v>0.13753751023006267</v>
      </c>
      <c r="J41">
        <f t="shared" ca="1" si="1"/>
        <v>7.7450000000000045</v>
      </c>
      <c r="K41" s="2">
        <f t="shared" ca="1" si="3"/>
        <v>5.5268099999999993</v>
      </c>
    </row>
    <row r="42" spans="1:11" x14ac:dyDescent="0.25">
      <c r="A42" vm="236">
        <f ca="1"/>
        <v>45720</v>
      </c>
      <c r="B42" vm="237">
        <f ca="1"/>
        <v>253.21</v>
      </c>
      <c r="C42" vm="238">
        <f ca="1"/>
        <v>248.75</v>
      </c>
      <c r="D42" vm="239">
        <f ca="1"/>
        <v>255.48</v>
      </c>
      <c r="E42" vm="240">
        <f ca="1"/>
        <v>248.1</v>
      </c>
      <c r="F42" vm="241">
        <f ca="1"/>
        <v>5342106</v>
      </c>
      <c r="G42" s="2">
        <f t="shared" ca="1" si="2"/>
        <v>257.59649999999993</v>
      </c>
      <c r="I42" s="3">
        <f t="shared" ca="1" si="0"/>
        <v>0.15126852778030386</v>
      </c>
      <c r="J42">
        <f t="shared" ca="1" si="1"/>
        <v>7.3799999999999955</v>
      </c>
      <c r="K42" s="2">
        <f t="shared" ca="1" si="3"/>
        <v>5.384809999999999</v>
      </c>
    </row>
    <row r="43" spans="1:11" x14ac:dyDescent="0.25">
      <c r="A43" vm="242">
        <f ca="1"/>
        <v>45721</v>
      </c>
      <c r="B43" vm="243">
        <f ca="1"/>
        <v>251.35</v>
      </c>
      <c r="C43" vm="244">
        <f ca="1"/>
        <v>251.58</v>
      </c>
      <c r="D43" vm="245">
        <f ca="1"/>
        <v>252.74</v>
      </c>
      <c r="E43" vm="246">
        <f ca="1"/>
        <v>247.0146</v>
      </c>
      <c r="F43" vm="247">
        <f ca="1"/>
        <v>4009813</v>
      </c>
      <c r="G43" s="2">
        <f t="shared" ca="1" si="2"/>
        <v>256.94099999999997</v>
      </c>
      <c r="I43" s="3">
        <f t="shared" ca="1" si="0"/>
        <v>0.14281167591161226</v>
      </c>
      <c r="J43">
        <f t="shared" ca="1" si="1"/>
        <v>5.7254000000000076</v>
      </c>
      <c r="K43" s="2">
        <f t="shared" ca="1" si="3"/>
        <v>5.3147449999999976</v>
      </c>
    </row>
    <row r="44" spans="1:11" x14ac:dyDescent="0.25">
      <c r="A44" vm="248">
        <f ca="1"/>
        <v>45722</v>
      </c>
      <c r="B44" vm="249">
        <f ca="1"/>
        <v>248.69</v>
      </c>
      <c r="C44" vm="250">
        <f ca="1"/>
        <v>249.75</v>
      </c>
      <c r="D44" vm="251">
        <f ca="1"/>
        <v>252.1</v>
      </c>
      <c r="E44" vm="252">
        <f ca="1"/>
        <v>246.80189999999999</v>
      </c>
      <c r="F44" vm="253">
        <f ca="1"/>
        <v>3254358</v>
      </c>
      <c r="G44" s="2">
        <f t="shared" ca="1" si="2"/>
        <v>256.21049999999997</v>
      </c>
      <c r="I44" s="3">
        <f t="shared" ca="1" si="0"/>
        <v>0.13071746840047282</v>
      </c>
      <c r="J44">
        <f t="shared" ca="1" si="1"/>
        <v>5.2981000000000051</v>
      </c>
      <c r="K44" s="2">
        <f t="shared" ca="1" si="3"/>
        <v>5.352649999999997</v>
      </c>
    </row>
    <row r="45" spans="1:11" x14ac:dyDescent="0.25">
      <c r="A45" vm="254">
        <f ca="1"/>
        <v>45723</v>
      </c>
      <c r="B45" vm="255">
        <f ca="1"/>
        <v>261.54000000000002</v>
      </c>
      <c r="C45" vm="256">
        <f ca="1"/>
        <v>245.95</v>
      </c>
      <c r="D45" vm="257">
        <f ca="1"/>
        <v>261.95999999999998</v>
      </c>
      <c r="E45" vm="258">
        <f ca="1"/>
        <v>245.1823</v>
      </c>
      <c r="F45" vm="259">
        <f ca="1"/>
        <v>6700184</v>
      </c>
      <c r="G45" s="2">
        <f t="shared" ca="1" si="2"/>
        <v>256.6155</v>
      </c>
      <c r="I45" s="3">
        <f t="shared" ca="1" si="0"/>
        <v>0.18914249340729294</v>
      </c>
      <c r="J45">
        <f t="shared" ca="1" si="1"/>
        <v>16.777699999999982</v>
      </c>
      <c r="K45" s="2">
        <f t="shared" ca="1" si="3"/>
        <v>5.6590349999999958</v>
      </c>
    </row>
    <row r="46" spans="1:11" x14ac:dyDescent="0.25">
      <c r="A46" vm="260">
        <f ca="1"/>
        <v>45726</v>
      </c>
      <c r="B46" vm="261">
        <f ca="1"/>
        <v>256.89999999999998</v>
      </c>
      <c r="C46" vm="262">
        <f ca="1"/>
        <v>261.56</v>
      </c>
      <c r="D46" vm="263">
        <f ca="1"/>
        <v>266.45</v>
      </c>
      <c r="E46" vm="264">
        <f ca="1"/>
        <v>254.7474</v>
      </c>
      <c r="F46" vm="265">
        <f ca="1"/>
        <v>8165503</v>
      </c>
      <c r="G46" s="2">
        <f t="shared" ca="1" si="2"/>
        <v>256.84350000000001</v>
      </c>
      <c r="I46" s="3">
        <f t="shared" ca="1" si="0"/>
        <v>0.1680458306810948</v>
      </c>
      <c r="J46">
        <f t="shared" ca="1" si="1"/>
        <v>11.70259999999999</v>
      </c>
      <c r="K46" s="2">
        <f t="shared" ca="1" si="3"/>
        <v>5.9986649999999955</v>
      </c>
    </row>
    <row r="47" spans="1:11" x14ac:dyDescent="0.25">
      <c r="A47" vm="266">
        <f ca="1"/>
        <v>45727</v>
      </c>
      <c r="B47" vm="267">
        <f ca="1"/>
        <v>248.95</v>
      </c>
      <c r="C47" vm="233">
        <f ca="1"/>
        <v>255.99</v>
      </c>
      <c r="D47" vm="268">
        <f ca="1"/>
        <v>256.7</v>
      </c>
      <c r="E47" vm="269">
        <f ca="1"/>
        <v>245.86</v>
      </c>
      <c r="F47" vm="270">
        <f ca="1"/>
        <v>5630570</v>
      </c>
      <c r="G47" s="2">
        <f t="shared" ca="1" si="2"/>
        <v>256.82749999999999</v>
      </c>
      <c r="I47" s="3">
        <f t="shared" ca="1" si="0"/>
        <v>0.13189960898426834</v>
      </c>
      <c r="J47">
        <f t="shared" ca="1" si="1"/>
        <v>10.839999999999975</v>
      </c>
      <c r="K47" s="2">
        <f t="shared" ca="1" si="3"/>
        <v>6.2866649999999948</v>
      </c>
    </row>
    <row r="48" spans="1:11" x14ac:dyDescent="0.25">
      <c r="A48" vm="271">
        <f ca="1"/>
        <v>45728</v>
      </c>
      <c r="B48" vm="272">
        <f ca="1"/>
        <v>249.63</v>
      </c>
      <c r="C48" vm="273">
        <f ca="1"/>
        <v>250.35</v>
      </c>
      <c r="D48" vm="274">
        <f ca="1"/>
        <v>253.12729999999999</v>
      </c>
      <c r="E48" vm="275">
        <f ca="1"/>
        <v>245.53</v>
      </c>
      <c r="F48" vm="276">
        <f ca="1"/>
        <v>3849206</v>
      </c>
      <c r="G48" s="2">
        <f t="shared" ca="1" si="2"/>
        <v>256.57399999999996</v>
      </c>
      <c r="I48" s="3">
        <f t="shared" ca="1" si="0"/>
        <v>0.13499136128034928</v>
      </c>
      <c r="J48">
        <f t="shared" ca="1" si="1"/>
        <v>7.59729999999999</v>
      </c>
      <c r="K48" s="2">
        <f t="shared" ca="1" si="3"/>
        <v>6.358029999999995</v>
      </c>
    </row>
    <row r="49" spans="1:11" x14ac:dyDescent="0.25">
      <c r="A49" vm="277">
        <f ca="1"/>
        <v>45729</v>
      </c>
      <c r="B49" vm="278">
        <f ca="1"/>
        <v>245.8</v>
      </c>
      <c r="C49" vm="279">
        <f ca="1"/>
        <v>248.8</v>
      </c>
      <c r="D49" vm="149">
        <f ca="1"/>
        <v>249.27</v>
      </c>
      <c r="E49" vm="280">
        <f ca="1"/>
        <v>243.04</v>
      </c>
      <c r="F49" vm="281">
        <f ca="1"/>
        <v>3862416</v>
      </c>
      <c r="G49" s="2">
        <f t="shared" ca="1" si="2"/>
        <v>256.07350000000002</v>
      </c>
      <c r="I49" s="3">
        <f t="shared" ca="1" si="0"/>
        <v>0.11757752114212972</v>
      </c>
      <c r="J49">
        <f t="shared" ca="1" si="1"/>
        <v>6.2300000000000182</v>
      </c>
      <c r="K49" s="2">
        <f t="shared" ca="1" si="3"/>
        <v>6.4505299999999979</v>
      </c>
    </row>
    <row r="50" spans="1:11" x14ac:dyDescent="0.25">
      <c r="A50" vm="282">
        <f ca="1"/>
        <v>45730</v>
      </c>
      <c r="B50" vm="283">
        <f ca="1"/>
        <v>248.35</v>
      </c>
      <c r="C50" vm="284">
        <f ca="1"/>
        <v>242.745</v>
      </c>
      <c r="D50" vm="285">
        <f ca="1"/>
        <v>248.94990000000001</v>
      </c>
      <c r="E50" vm="286">
        <f ca="1"/>
        <v>241.68</v>
      </c>
      <c r="F50" vm="287">
        <f ca="1"/>
        <v>4045284</v>
      </c>
      <c r="G50" s="2">
        <f t="shared" ca="1" si="2"/>
        <v>255.53149999999999</v>
      </c>
      <c r="I50" s="3">
        <f t="shared" ca="1" si="0"/>
        <v>0.12917159225243258</v>
      </c>
      <c r="J50">
        <f t="shared" ca="1" si="1"/>
        <v>7.2699000000000069</v>
      </c>
      <c r="K50" s="2">
        <f t="shared" ca="1" si="3"/>
        <v>6.5705249999999991</v>
      </c>
    </row>
    <row r="51" spans="1:11" x14ac:dyDescent="0.25">
      <c r="A51" vm="288">
        <f ca="1"/>
        <v>45733</v>
      </c>
      <c r="B51" vm="289">
        <f ca="1"/>
        <v>252.97</v>
      </c>
      <c r="C51" vm="290">
        <f ca="1"/>
        <v>249.25</v>
      </c>
      <c r="D51" vm="291">
        <f ca="1"/>
        <v>254.63</v>
      </c>
      <c r="E51" vm="292">
        <f ca="1"/>
        <v>249</v>
      </c>
      <c r="F51" vm="293">
        <f ca="1"/>
        <v>3234149</v>
      </c>
      <c r="G51" s="2">
        <f t="shared" ca="1" si="2"/>
        <v>255.11600000000004</v>
      </c>
      <c r="H51" s="2">
        <f ca="1">AVERAGE(B2:B51)</f>
        <v>244.04740000000001</v>
      </c>
      <c r="I51" s="3">
        <f t="shared" ca="1" si="0"/>
        <v>0.15017732108756943</v>
      </c>
      <c r="J51">
        <f t="shared" ca="1" si="1"/>
        <v>5.6299999999999955</v>
      </c>
      <c r="K51" s="2">
        <f t="shared" ca="1" si="3"/>
        <v>6.650525</v>
      </c>
    </row>
    <row r="52" spans="1:11" x14ac:dyDescent="0.25">
      <c r="A52" vm="294">
        <f ca="1"/>
        <v>45734</v>
      </c>
      <c r="B52" vm="295">
        <f ca="1"/>
        <v>246.95</v>
      </c>
      <c r="C52" vm="296">
        <f ca="1"/>
        <v>252.51</v>
      </c>
      <c r="D52" vm="297">
        <f ca="1"/>
        <v>252.57</v>
      </c>
      <c r="E52" vm="298">
        <f ca="1"/>
        <v>245.12</v>
      </c>
      <c r="F52" vm="299">
        <f ca="1"/>
        <v>4172239</v>
      </c>
      <c r="G52" s="2">
        <f t="shared" ca="1" si="2"/>
        <v>254.31</v>
      </c>
      <c r="H52" s="2">
        <f t="shared" ref="H52:H115" ca="1" si="4">AVERAGE(B3:B52)</f>
        <v>244.58760000000007</v>
      </c>
      <c r="I52" s="3">
        <f t="shared" ca="1" si="0"/>
        <v>0.12280621987814855</v>
      </c>
      <c r="J52">
        <f t="shared" ca="1" si="1"/>
        <v>7.4499999999999886</v>
      </c>
      <c r="K52" s="2">
        <f t="shared" ca="1" si="3"/>
        <v>6.8162750000000001</v>
      </c>
    </row>
    <row r="53" spans="1:11" x14ac:dyDescent="0.25">
      <c r="A53" vm="300">
        <f ca="1"/>
        <v>45735</v>
      </c>
      <c r="B53" vm="301">
        <f ca="1"/>
        <v>252.29</v>
      </c>
      <c r="C53" vm="302">
        <f ca="1"/>
        <v>248.33</v>
      </c>
      <c r="D53" vm="303">
        <f ca="1"/>
        <v>253.66</v>
      </c>
      <c r="E53" vm="304">
        <f ca="1"/>
        <v>246.64</v>
      </c>
      <c r="F53" vm="305">
        <f ca="1"/>
        <v>3853598</v>
      </c>
      <c r="G53" s="2">
        <f t="shared" ca="1" si="2"/>
        <v>253.70850000000002</v>
      </c>
      <c r="H53" s="2">
        <f t="shared" ca="1" si="4"/>
        <v>245.18040000000002</v>
      </c>
      <c r="I53" s="3">
        <f t="shared" ca="1" si="0"/>
        <v>0.14708556879148849</v>
      </c>
      <c r="J53">
        <f t="shared" ca="1" si="1"/>
        <v>7.0200000000000102</v>
      </c>
      <c r="K53" s="2">
        <f t="shared" ca="1" si="3"/>
        <v>6.9537749999999985</v>
      </c>
    </row>
    <row r="54" spans="1:11" x14ac:dyDescent="0.25">
      <c r="A54" vm="306">
        <f ca="1"/>
        <v>45736</v>
      </c>
      <c r="B54" vm="307">
        <f ca="1"/>
        <v>243.32</v>
      </c>
      <c r="C54" vm="308">
        <f ca="1"/>
        <v>244.24</v>
      </c>
      <c r="D54" vm="309">
        <f ca="1"/>
        <v>246.8</v>
      </c>
      <c r="E54" vm="310">
        <f ca="1"/>
        <v>237.22399999999999</v>
      </c>
      <c r="F54" vm="311">
        <f ca="1"/>
        <v>7026796</v>
      </c>
      <c r="G54" s="2">
        <f t="shared" ca="1" si="2"/>
        <v>252.63749999999999</v>
      </c>
      <c r="H54" s="2">
        <f t="shared" ca="1" si="4"/>
        <v>245.5934</v>
      </c>
      <c r="I54" s="3">
        <f t="shared" ca="1" si="0"/>
        <v>0.10630171865054105</v>
      </c>
      <c r="J54">
        <f t="shared" ca="1" si="1"/>
        <v>9.5760000000000218</v>
      </c>
      <c r="K54" s="2">
        <f t="shared" ca="1" si="3"/>
        <v>7.2855749999999997</v>
      </c>
    </row>
    <row r="55" spans="1:11" x14ac:dyDescent="0.25">
      <c r="A55" vm="312">
        <f ca="1"/>
        <v>45737</v>
      </c>
      <c r="B55" vm="313">
        <f ca="1"/>
        <v>243.87</v>
      </c>
      <c r="C55" vm="314">
        <f ca="1"/>
        <v>241.69</v>
      </c>
      <c r="D55" vm="315">
        <f ca="1"/>
        <v>245.20500000000001</v>
      </c>
      <c r="E55" vm="316">
        <f ca="1"/>
        <v>238.5</v>
      </c>
      <c r="F55" vm="317">
        <f ca="1"/>
        <v>9580084</v>
      </c>
      <c r="G55" s="2">
        <f t="shared" ca="1" si="2"/>
        <v>251.75699999999998</v>
      </c>
      <c r="H55" s="2">
        <f t="shared" ca="1" si="4"/>
        <v>245.99160000000003</v>
      </c>
      <c r="I55" s="3">
        <f t="shared" ca="1" si="0"/>
        <v>0.10880240065472413</v>
      </c>
      <c r="J55">
        <f t="shared" ca="1" si="1"/>
        <v>6.7050000000000125</v>
      </c>
      <c r="K55" s="2">
        <f t="shared" ca="1" si="3"/>
        <v>7.434325000000003</v>
      </c>
    </row>
    <row r="56" spans="1:11" x14ac:dyDescent="0.25">
      <c r="A56" vm="318">
        <f ca="1"/>
        <v>45740</v>
      </c>
      <c r="B56" vm="319">
        <f ca="1"/>
        <v>248.45</v>
      </c>
      <c r="C56" vm="320">
        <f ca="1"/>
        <v>247.31</v>
      </c>
      <c r="D56" vm="321">
        <f ca="1"/>
        <v>248.82</v>
      </c>
      <c r="E56" vm="322">
        <f ca="1"/>
        <v>245.965</v>
      </c>
      <c r="F56" vm="323">
        <f ca="1"/>
        <v>4753331</v>
      </c>
      <c r="G56" s="2">
        <f t="shared" ca="1" si="2"/>
        <v>251.08599999999996</v>
      </c>
      <c r="H56" s="2">
        <f t="shared" ca="1" si="4"/>
        <v>246.49700000000001</v>
      </c>
      <c r="I56" s="3">
        <f t="shared" ca="1" si="0"/>
        <v>0.12962626170773839</v>
      </c>
      <c r="J56">
        <f t="shared" ca="1" si="1"/>
        <v>2.8549999999999898</v>
      </c>
      <c r="K56" s="2">
        <f t="shared" ca="1" si="3"/>
        <v>7.3638250000000003</v>
      </c>
    </row>
    <row r="57" spans="1:11" x14ac:dyDescent="0.25">
      <c r="A57" vm="324">
        <f ca="1"/>
        <v>45741</v>
      </c>
      <c r="B57" vm="325">
        <f ca="1"/>
        <v>249.9</v>
      </c>
      <c r="C57" vm="326">
        <f ca="1"/>
        <v>248.36</v>
      </c>
      <c r="D57" vm="327">
        <f ca="1"/>
        <v>250.9</v>
      </c>
      <c r="E57" vm="328">
        <f ca="1"/>
        <v>248.2</v>
      </c>
      <c r="F57" vm="329">
        <f ca="1"/>
        <v>3133809</v>
      </c>
      <c r="G57" s="2">
        <f t="shared" ca="1" si="2"/>
        <v>250.69349999999994</v>
      </c>
      <c r="H57" s="2">
        <f t="shared" ca="1" si="4"/>
        <v>247.1</v>
      </c>
      <c r="I57" s="3">
        <f t="shared" ca="1" si="0"/>
        <v>0.13621896880967532</v>
      </c>
      <c r="J57">
        <f t="shared" ca="1" si="1"/>
        <v>2.7000000000000171</v>
      </c>
      <c r="K57" s="2">
        <f t="shared" ca="1" si="3"/>
        <v>7.1633249999999986</v>
      </c>
    </row>
    <row r="58" spans="1:11" x14ac:dyDescent="0.25">
      <c r="A58" vm="330">
        <f ca="1"/>
        <v>45742</v>
      </c>
      <c r="B58" vm="331">
        <f ca="1"/>
        <v>250.34</v>
      </c>
      <c r="C58" vm="332">
        <f ca="1"/>
        <v>251.25</v>
      </c>
      <c r="D58" vm="333">
        <f ca="1"/>
        <v>254.32</v>
      </c>
      <c r="E58" vm="334">
        <f ca="1"/>
        <v>249.53</v>
      </c>
      <c r="F58" vm="335">
        <f ca="1"/>
        <v>4452220</v>
      </c>
      <c r="G58" s="2">
        <f t="shared" ca="1" si="2"/>
        <v>250.41849999999994</v>
      </c>
      <c r="H58" s="2">
        <f t="shared" ca="1" si="4"/>
        <v>247.75880000000001</v>
      </c>
      <c r="I58" s="3">
        <f t="shared" ca="1" si="0"/>
        <v>0.13821951441302183</v>
      </c>
      <c r="J58">
        <f t="shared" ca="1" si="1"/>
        <v>4.789999999999992</v>
      </c>
      <c r="K58" s="2">
        <f t="shared" ca="1" si="3"/>
        <v>7.2070949999999998</v>
      </c>
    </row>
    <row r="59" spans="1:11" x14ac:dyDescent="0.25">
      <c r="A59" vm="336">
        <f ca="1"/>
        <v>45743</v>
      </c>
      <c r="B59" vm="337">
        <f ca="1"/>
        <v>246.21</v>
      </c>
      <c r="C59" vm="338">
        <f ca="1"/>
        <v>249.71</v>
      </c>
      <c r="D59" vm="339">
        <f ca="1"/>
        <v>250.3</v>
      </c>
      <c r="E59" vm="340">
        <f ca="1"/>
        <v>245.72499999999999</v>
      </c>
      <c r="F59" vm="341">
        <f ca="1"/>
        <v>2889328</v>
      </c>
      <c r="G59" s="2">
        <f t="shared" ca="1" si="2"/>
        <v>250.06749999999997</v>
      </c>
      <c r="H59" s="2">
        <f t="shared" ca="1" si="4"/>
        <v>248.328</v>
      </c>
      <c r="I59" s="3">
        <f t="shared" ca="1" si="0"/>
        <v>0.11944166590888439</v>
      </c>
      <c r="J59">
        <f t="shared" ca="1" si="1"/>
        <v>4.5750000000000171</v>
      </c>
      <c r="K59" s="2">
        <f t="shared" ca="1" si="3"/>
        <v>7.2068450000000013</v>
      </c>
    </row>
    <row r="60" spans="1:11" x14ac:dyDescent="0.25">
      <c r="A60" vm="342">
        <f ca="1"/>
        <v>45744</v>
      </c>
      <c r="B60" vm="343">
        <f ca="1"/>
        <v>244</v>
      </c>
      <c r="C60" vm="344">
        <f ca="1"/>
        <v>246.27</v>
      </c>
      <c r="D60" vm="345">
        <f ca="1"/>
        <v>247.57</v>
      </c>
      <c r="E60" vm="346">
        <f ca="1"/>
        <v>242.07</v>
      </c>
      <c r="F60" vm="347">
        <f ca="1"/>
        <v>3125594</v>
      </c>
      <c r="G60" s="2">
        <f t="shared" ca="1" si="2"/>
        <v>249.6455</v>
      </c>
      <c r="H60" s="2">
        <f t="shared" ca="1" si="4"/>
        <v>248.80740000000003</v>
      </c>
      <c r="I60" s="3">
        <f t="shared" ca="1" si="0"/>
        <v>0.10939347094662177</v>
      </c>
      <c r="J60">
        <f t="shared" ca="1" si="1"/>
        <v>5.5</v>
      </c>
      <c r="K60" s="2">
        <f t="shared" ca="1" si="3"/>
        <v>7.1683500000000011</v>
      </c>
    </row>
    <row r="61" spans="1:11" x14ac:dyDescent="0.25">
      <c r="A61" vm="348">
        <f ca="1"/>
        <v>45747</v>
      </c>
      <c r="B61" vm="349">
        <f ca="1"/>
        <v>248.66</v>
      </c>
      <c r="C61" vm="350">
        <f ca="1"/>
        <v>242.74</v>
      </c>
      <c r="D61" vm="351">
        <f ca="1"/>
        <v>250.89</v>
      </c>
      <c r="E61" vm="352">
        <f ca="1"/>
        <v>242.49</v>
      </c>
      <c r="F61" vm="353">
        <f ca="1"/>
        <v>6794972</v>
      </c>
      <c r="G61" s="2">
        <f t="shared" ca="1" si="2"/>
        <v>249.56899999999996</v>
      </c>
      <c r="H61" s="2">
        <f t="shared" ca="1" si="4"/>
        <v>249.32739999999998</v>
      </c>
      <c r="I61" s="3">
        <f t="shared" ca="1" si="0"/>
        <v>0.13058106756388099</v>
      </c>
      <c r="J61">
        <f t="shared" ca="1" si="1"/>
        <v>8.3999999999999773</v>
      </c>
      <c r="K61" s="2">
        <f t="shared" ca="1" si="3"/>
        <v>7.2010999999999994</v>
      </c>
    </row>
    <row r="62" spans="1:11" x14ac:dyDescent="0.25">
      <c r="A62" vm="354">
        <f ca="1"/>
        <v>45748</v>
      </c>
      <c r="B62" vm="331">
        <f ca="1"/>
        <v>250.34</v>
      </c>
      <c r="C62" vm="355">
        <f ca="1"/>
        <v>248.03</v>
      </c>
      <c r="D62" vm="356">
        <f ca="1"/>
        <v>250.62</v>
      </c>
      <c r="E62" vm="357">
        <f ca="1"/>
        <v>243.49</v>
      </c>
      <c r="F62" vm="358">
        <f ca="1"/>
        <v>4413139</v>
      </c>
      <c r="G62" s="2">
        <f t="shared" ca="1" si="2"/>
        <v>249.42549999999997</v>
      </c>
      <c r="H62" s="2">
        <f t="shared" ca="1" si="4"/>
        <v>249.83839999999998</v>
      </c>
      <c r="I62" s="3">
        <f t="shared" ca="1" si="0"/>
        <v>0.13821951441302183</v>
      </c>
      <c r="J62">
        <f t="shared" ca="1" si="1"/>
        <v>7.1299999999999955</v>
      </c>
      <c r="K62" s="2">
        <f t="shared" ca="1" si="3"/>
        <v>7.1885999999999992</v>
      </c>
    </row>
    <row r="63" spans="1:11" x14ac:dyDescent="0.25">
      <c r="A63" vm="359">
        <f ca="1"/>
        <v>45749</v>
      </c>
      <c r="B63" vm="360">
        <f ca="1"/>
        <v>249.98</v>
      </c>
      <c r="C63" vm="361">
        <f ca="1"/>
        <v>248.22</v>
      </c>
      <c r="D63" vm="362">
        <f ca="1"/>
        <v>252.79</v>
      </c>
      <c r="E63" vm="363">
        <f ca="1"/>
        <v>247.23</v>
      </c>
      <c r="F63" vm="364">
        <f ca="1"/>
        <v>4080832</v>
      </c>
      <c r="G63" s="2">
        <f t="shared" ca="1" si="2"/>
        <v>249.35699999999997</v>
      </c>
      <c r="H63" s="2">
        <f t="shared" ca="1" si="4"/>
        <v>250.35279999999995</v>
      </c>
      <c r="I63" s="3">
        <f t="shared" ca="1" si="0"/>
        <v>0.13658270437392006</v>
      </c>
      <c r="J63">
        <f t="shared" ca="1" si="1"/>
        <v>5.5600000000000023</v>
      </c>
      <c r="K63" s="2">
        <f t="shared" ca="1" si="3"/>
        <v>7.1803299999999997</v>
      </c>
    </row>
    <row r="64" spans="1:11" x14ac:dyDescent="0.25">
      <c r="A64" vm="365">
        <f ca="1"/>
        <v>45750</v>
      </c>
      <c r="B64" vm="357">
        <f ca="1"/>
        <v>243.49</v>
      </c>
      <c r="C64" vm="366">
        <f ca="1"/>
        <v>242.71</v>
      </c>
      <c r="D64" vm="367">
        <f ca="1"/>
        <v>250.61</v>
      </c>
      <c r="E64" vm="368">
        <f ca="1"/>
        <v>242.53</v>
      </c>
      <c r="F64" vm="369">
        <f ca="1"/>
        <v>5309626</v>
      </c>
      <c r="G64" s="2">
        <f t="shared" ca="1" si="2"/>
        <v>249.09699999999998</v>
      </c>
      <c r="H64" s="2">
        <f t="shared" ca="1" si="4"/>
        <v>250.75739999999993</v>
      </c>
      <c r="I64" s="3">
        <f t="shared" ca="1" si="0"/>
        <v>0.10707465672456129</v>
      </c>
      <c r="J64">
        <f t="shared" ca="1" si="1"/>
        <v>8.0800000000000125</v>
      </c>
      <c r="K64" s="2">
        <f t="shared" ca="1" si="3"/>
        <v>7.3194249999999998</v>
      </c>
    </row>
    <row r="65" spans="1:11" x14ac:dyDescent="0.25">
      <c r="A65" vm="370">
        <f ca="1"/>
        <v>45751</v>
      </c>
      <c r="B65" vm="371">
        <f ca="1"/>
        <v>227.48</v>
      </c>
      <c r="C65" vm="372">
        <f ca="1"/>
        <v>238</v>
      </c>
      <c r="D65" vm="373">
        <f ca="1"/>
        <v>240.16</v>
      </c>
      <c r="E65" vm="374">
        <f ca="1"/>
        <v>226.88</v>
      </c>
      <c r="F65" vm="375">
        <f ca="1"/>
        <v>7407096</v>
      </c>
      <c r="G65" s="2">
        <f t="shared" ca="1" si="2"/>
        <v>247.39399999999992</v>
      </c>
      <c r="H65" s="2">
        <f t="shared" ca="1" si="4"/>
        <v>250.78619999999995</v>
      </c>
      <c r="I65" s="3">
        <f t="shared" ca="1" si="0"/>
        <v>3.4282076930071792E-2</v>
      </c>
      <c r="J65">
        <f t="shared" ca="1" si="1"/>
        <v>13.280000000000001</v>
      </c>
      <c r="K65" s="2">
        <f t="shared" ca="1" si="3"/>
        <v>7.144540000000001</v>
      </c>
    </row>
    <row r="66" spans="1:11" x14ac:dyDescent="0.25">
      <c r="A66" vm="376">
        <f ca="1"/>
        <v>45754</v>
      </c>
      <c r="B66" vm="377">
        <f ca="1"/>
        <v>225.78</v>
      </c>
      <c r="C66" vm="378">
        <f ca="1"/>
        <v>219.24</v>
      </c>
      <c r="D66" vm="379">
        <f ca="1"/>
        <v>232.29</v>
      </c>
      <c r="E66" vm="380">
        <f ca="1"/>
        <v>214.5</v>
      </c>
      <c r="F66" vm="381">
        <f ca="1"/>
        <v>7797889</v>
      </c>
      <c r="G66" s="2">
        <f t="shared" ca="1" si="2"/>
        <v>245.83799999999997</v>
      </c>
      <c r="H66" s="2">
        <f t="shared" ca="1" si="4"/>
        <v>250.80579999999998</v>
      </c>
      <c r="I66" s="3">
        <f t="shared" ca="1" si="0"/>
        <v>2.6552696189869884E-2</v>
      </c>
      <c r="J66">
        <f t="shared" ca="1" si="1"/>
        <v>17.789999999999992</v>
      </c>
      <c r="K66" s="2">
        <f t="shared" ca="1" si="3"/>
        <v>7.4489100000000006</v>
      </c>
    </row>
    <row r="67" spans="1:11" x14ac:dyDescent="0.25">
      <c r="A67" vm="382">
        <f ca="1"/>
        <v>45755</v>
      </c>
      <c r="B67" vm="383">
        <f ca="1"/>
        <v>221.03</v>
      </c>
      <c r="C67" vm="384">
        <f ca="1"/>
        <v>232.56</v>
      </c>
      <c r="D67" vm="385">
        <f ca="1"/>
        <v>233.05</v>
      </c>
      <c r="E67" vm="386">
        <f ca="1"/>
        <v>217.28</v>
      </c>
      <c r="F67" vm="387">
        <f ca="1"/>
        <v>6849996</v>
      </c>
      <c r="G67" s="2">
        <f t="shared" ca="1" si="2"/>
        <v>244.44199999999995</v>
      </c>
      <c r="H67" s="2">
        <f t="shared" ca="1" si="4"/>
        <v>250.74379999999996</v>
      </c>
      <c r="I67" s="3">
        <f t="shared" ref="I67:I130" ca="1" si="5">(B67/$B$2)-1</f>
        <v>4.9558970628353904E-3</v>
      </c>
      <c r="J67">
        <f t="shared" ref="J67:J130" ca="1" si="6">D67-E67</f>
        <v>15.77000000000001</v>
      </c>
      <c r="K67" s="2">
        <f t="shared" ca="1" si="3"/>
        <v>7.6954100000000025</v>
      </c>
    </row>
    <row r="68" spans="1:11" x14ac:dyDescent="0.25">
      <c r="A68" vm="388">
        <f ca="1"/>
        <v>45756</v>
      </c>
      <c r="B68" vm="389">
        <f ca="1"/>
        <v>235.31</v>
      </c>
      <c r="C68" vm="390">
        <f ca="1"/>
        <v>217.12</v>
      </c>
      <c r="D68" vm="391">
        <f ca="1"/>
        <v>236.3</v>
      </c>
      <c r="E68" vm="392">
        <f ca="1"/>
        <v>215.1636</v>
      </c>
      <c r="F68" vm="393">
        <f ca="1"/>
        <v>7302808</v>
      </c>
      <c r="G68" s="2">
        <f t="shared" ca="1" si="2"/>
        <v>243.72599999999997</v>
      </c>
      <c r="H68" s="2">
        <f t="shared" ca="1" si="4"/>
        <v>250.93680000000001</v>
      </c>
      <c r="I68" s="3">
        <f t="shared" ca="1" si="5"/>
        <v>6.9882695280531149E-2</v>
      </c>
      <c r="J68">
        <f t="shared" ca="1" si="6"/>
        <v>21.136400000000009</v>
      </c>
      <c r="K68" s="2">
        <f t="shared" ca="1" si="3"/>
        <v>8.3723650000000038</v>
      </c>
    </row>
    <row r="69" spans="1:11" x14ac:dyDescent="0.25">
      <c r="A69" vm="394">
        <f ca="1"/>
        <v>45757</v>
      </c>
      <c r="B69" vm="395">
        <f ca="1"/>
        <v>229.55</v>
      </c>
      <c r="C69" vm="396">
        <f ca="1"/>
        <v>231</v>
      </c>
      <c r="D69" vm="397">
        <f ca="1"/>
        <v>232.57</v>
      </c>
      <c r="E69" vm="398">
        <f ca="1"/>
        <v>222.02</v>
      </c>
      <c r="F69" vm="399">
        <f ca="1"/>
        <v>5656108</v>
      </c>
      <c r="G69" s="2">
        <f t="shared" ca="1" si="2"/>
        <v>242.91350000000003</v>
      </c>
      <c r="H69" s="2">
        <f t="shared" ca="1" si="4"/>
        <v>250.95519999999999</v>
      </c>
      <c r="I69" s="3">
        <f t="shared" ca="1" si="5"/>
        <v>4.3693734654906002E-2</v>
      </c>
      <c r="J69">
        <f t="shared" ca="1" si="6"/>
        <v>10.549999999999983</v>
      </c>
      <c r="K69" s="2">
        <f t="shared" ca="1" si="3"/>
        <v>8.5883650000000014</v>
      </c>
    </row>
    <row r="70" spans="1:11" x14ac:dyDescent="0.25">
      <c r="A70" vm="400">
        <f ca="1"/>
        <v>45758</v>
      </c>
      <c r="B70" vm="401">
        <f ca="1"/>
        <v>235.48</v>
      </c>
      <c r="C70" vm="402">
        <f ca="1"/>
        <v>229.72</v>
      </c>
      <c r="D70" vm="403">
        <f ca="1"/>
        <v>237.58</v>
      </c>
      <c r="E70" vm="404">
        <f ca="1"/>
        <v>227.51</v>
      </c>
      <c r="F70" vm="405">
        <f ca="1"/>
        <v>4325895</v>
      </c>
      <c r="G70" s="2">
        <f t="shared" ca="1" si="2"/>
        <v>242.27000000000004</v>
      </c>
      <c r="H70" s="2">
        <f t="shared" ca="1" si="4"/>
        <v>250.49939999999998</v>
      </c>
      <c r="I70" s="3">
        <f t="shared" ca="1" si="5"/>
        <v>7.0655633354551162E-2</v>
      </c>
      <c r="J70">
        <f t="shared" ca="1" si="6"/>
        <v>10.070000000000022</v>
      </c>
      <c r="K70" s="2">
        <f t="shared" ca="1" si="3"/>
        <v>8.7283700000000017</v>
      </c>
    </row>
    <row r="71" spans="1:11" x14ac:dyDescent="0.25">
      <c r="A71" vm="406">
        <f ca="1"/>
        <v>45761</v>
      </c>
      <c r="B71" vm="407">
        <f ca="1"/>
        <v>239.06</v>
      </c>
      <c r="C71" vm="408">
        <f ca="1"/>
        <v>239.77</v>
      </c>
      <c r="D71" vm="409">
        <f ca="1"/>
        <v>241.77</v>
      </c>
      <c r="E71" vm="410">
        <f ca="1"/>
        <v>236.73</v>
      </c>
      <c r="F71" vm="411">
        <f ca="1"/>
        <v>3321717</v>
      </c>
      <c r="G71" s="2">
        <f t="shared" ca="1" si="2"/>
        <v>241.57450000000003</v>
      </c>
      <c r="H71" s="2">
        <f t="shared" ca="1" si="4"/>
        <v>250.16659999999996</v>
      </c>
      <c r="I71" s="3">
        <f t="shared" ca="1" si="5"/>
        <v>8.6932799854505749E-2</v>
      </c>
      <c r="J71">
        <f t="shared" ca="1" si="6"/>
        <v>5.0400000000000205</v>
      </c>
      <c r="K71" s="2">
        <f t="shared" ca="1" si="3"/>
        <v>8.698870000000003</v>
      </c>
    </row>
    <row r="72" spans="1:11" x14ac:dyDescent="0.25">
      <c r="A72" vm="412">
        <f ca="1"/>
        <v>45762</v>
      </c>
      <c r="B72" vm="413">
        <f ca="1"/>
        <v>240.7</v>
      </c>
      <c r="C72" vm="414">
        <f ca="1"/>
        <v>239.55</v>
      </c>
      <c r="D72" vm="415">
        <f ca="1"/>
        <v>241.53</v>
      </c>
      <c r="E72" vm="416">
        <f ca="1"/>
        <v>238.27</v>
      </c>
      <c r="F72" vm="417">
        <f ca="1"/>
        <v>3363708</v>
      </c>
      <c r="G72" s="2">
        <f t="shared" ca="1" si="2"/>
        <v>241.26200000000003</v>
      </c>
      <c r="H72" s="2">
        <f t="shared" ca="1" si="4"/>
        <v>249.76599999999996</v>
      </c>
      <c r="I72" s="3">
        <f t="shared" ca="1" si="5"/>
        <v>9.4389378921523992E-2</v>
      </c>
      <c r="J72">
        <f t="shared" ca="1" si="6"/>
        <v>3.2599999999999909</v>
      </c>
      <c r="K72" s="2">
        <f t="shared" ca="1" si="3"/>
        <v>8.4893700000000045</v>
      </c>
    </row>
    <row r="73" spans="1:11" x14ac:dyDescent="0.25">
      <c r="A73" vm="418">
        <f ca="1"/>
        <v>45763</v>
      </c>
      <c r="B73" vm="419">
        <f ca="1"/>
        <v>238.57</v>
      </c>
      <c r="C73" vm="420">
        <f ca="1"/>
        <v>240.28</v>
      </c>
      <c r="D73" vm="421">
        <f ca="1"/>
        <v>243.29990000000001</v>
      </c>
      <c r="E73" vm="422">
        <f ca="1"/>
        <v>235.89</v>
      </c>
      <c r="F73" vm="423">
        <f ca="1"/>
        <v>4870299</v>
      </c>
      <c r="G73" s="2">
        <f t="shared" ca="1" si="2"/>
        <v>240.57600000000002</v>
      </c>
      <c r="H73" s="2">
        <f t="shared" ca="1" si="4"/>
        <v>249.24819999999991</v>
      </c>
      <c r="I73" s="3">
        <f t="shared" ca="1" si="5"/>
        <v>8.4704919523506339E-2</v>
      </c>
      <c r="J73">
        <f t="shared" ca="1" si="6"/>
        <v>7.4099000000000217</v>
      </c>
      <c r="K73" s="2">
        <f t="shared" ca="1" si="3"/>
        <v>8.5088650000000037</v>
      </c>
    </row>
    <row r="74" spans="1:11" x14ac:dyDescent="0.25">
      <c r="A74" vm="424">
        <f ca="1"/>
        <v>45764</v>
      </c>
      <c r="B74" vm="425">
        <f ca="1"/>
        <v>238.81</v>
      </c>
      <c r="C74" vm="426">
        <f ca="1"/>
        <v>239.68</v>
      </c>
      <c r="D74" vm="427">
        <f ca="1"/>
        <v>241.77500000000001</v>
      </c>
      <c r="E74" vm="428">
        <f ca="1"/>
        <v>237.4</v>
      </c>
      <c r="F74" vm="429">
        <f ca="1"/>
        <v>4635204</v>
      </c>
      <c r="G74" s="2">
        <f t="shared" ca="1" si="2"/>
        <v>240.35050000000001</v>
      </c>
      <c r="H74" s="2">
        <f t="shared" ca="1" si="4"/>
        <v>248.75839999999994</v>
      </c>
      <c r="I74" s="3">
        <f t="shared" ca="1" si="5"/>
        <v>8.5796126216240776E-2</v>
      </c>
      <c r="J74">
        <f t="shared" ca="1" si="6"/>
        <v>4.375</v>
      </c>
      <c r="K74" s="2">
        <f t="shared" ca="1" si="3"/>
        <v>8.248815000000004</v>
      </c>
    </row>
    <row r="75" spans="1:11" x14ac:dyDescent="0.25">
      <c r="A75" vm="430">
        <f ca="1"/>
        <v>45768</v>
      </c>
      <c r="B75" vm="431">
        <f ca="1"/>
        <v>236.22</v>
      </c>
      <c r="C75" vm="432">
        <f ca="1"/>
        <v>238.065</v>
      </c>
      <c r="D75" vm="433">
        <f ca="1"/>
        <v>240.80500000000001</v>
      </c>
      <c r="E75" vm="434">
        <f ca="1"/>
        <v>232.93</v>
      </c>
      <c r="F75" vm="435">
        <f ca="1"/>
        <v>4908923</v>
      </c>
      <c r="G75" s="2">
        <f t="shared" ca="1" si="2"/>
        <v>239.96800000000002</v>
      </c>
      <c r="H75" s="2">
        <f t="shared" ca="1" si="4"/>
        <v>248.4139999999999</v>
      </c>
      <c r="I75" s="3">
        <f t="shared" ca="1" si="5"/>
        <v>7.4020187323815545E-2</v>
      </c>
      <c r="J75">
        <f t="shared" ca="1" si="6"/>
        <v>7.875</v>
      </c>
      <c r="K75" s="2">
        <f t="shared" ca="1" si="3"/>
        <v>8.3073150000000027</v>
      </c>
    </row>
    <row r="76" spans="1:11" x14ac:dyDescent="0.25">
      <c r="A76" vm="436">
        <f ca="1"/>
        <v>45769</v>
      </c>
      <c r="B76" vm="437">
        <f ca="1"/>
        <v>240.9</v>
      </c>
      <c r="C76" vm="316">
        <f ca="1"/>
        <v>238.5</v>
      </c>
      <c r="D76" vm="438">
        <f ca="1"/>
        <v>242.64</v>
      </c>
      <c r="E76" vm="439">
        <f ca="1"/>
        <v>238.02</v>
      </c>
      <c r="F76" vm="440">
        <f ca="1"/>
        <v>4232658</v>
      </c>
      <c r="G76" s="2">
        <f t="shared" ca="1" si="2"/>
        <v>239.59050000000002</v>
      </c>
      <c r="H76" s="2">
        <f t="shared" ca="1" si="4"/>
        <v>248.18519999999992</v>
      </c>
      <c r="I76" s="3">
        <f t="shared" ca="1" si="5"/>
        <v>9.529871783213606E-2</v>
      </c>
      <c r="J76">
        <f t="shared" ca="1" si="6"/>
        <v>4.6199999999999761</v>
      </c>
      <c r="K76" s="2">
        <f t="shared" ca="1" si="3"/>
        <v>8.3955650000000013</v>
      </c>
    </row>
    <row r="77" spans="1:11" x14ac:dyDescent="0.25">
      <c r="A77" vm="441">
        <f ca="1"/>
        <v>45770</v>
      </c>
      <c r="B77" vm="442">
        <f ca="1"/>
        <v>245.48</v>
      </c>
      <c r="C77" vm="443">
        <f ca="1"/>
        <v>246</v>
      </c>
      <c r="D77" vm="444">
        <f ca="1"/>
        <v>249.34</v>
      </c>
      <c r="E77" vm="445">
        <f ca="1"/>
        <v>243.66</v>
      </c>
      <c r="F77" vm="446">
        <f ca="1"/>
        <v>7948259</v>
      </c>
      <c r="G77" s="2">
        <f t="shared" ca="1" si="2"/>
        <v>239.36949999999996</v>
      </c>
      <c r="H77" s="2">
        <f t="shared" ca="1" si="4"/>
        <v>248.10939999999991</v>
      </c>
      <c r="I77" s="3">
        <f t="shared" ca="1" si="5"/>
        <v>0.11612257888515054</v>
      </c>
      <c r="J77">
        <f t="shared" ca="1" si="6"/>
        <v>5.6800000000000068</v>
      </c>
      <c r="K77" s="2">
        <f t="shared" ca="1" si="3"/>
        <v>8.5445650000000022</v>
      </c>
    </row>
    <row r="78" spans="1:11" x14ac:dyDescent="0.25">
      <c r="A78" vm="447">
        <f ca="1"/>
        <v>45771</v>
      </c>
      <c r="B78" vm="448">
        <f ca="1"/>
        <v>229.33</v>
      </c>
      <c r="C78" vm="449">
        <f ca="1"/>
        <v>231.17500000000001</v>
      </c>
      <c r="D78" vm="450">
        <f ca="1"/>
        <v>232.78</v>
      </c>
      <c r="E78" vm="451">
        <f ca="1"/>
        <v>224.4401</v>
      </c>
      <c r="F78" vm="452">
        <f ca="1"/>
        <v>15428144</v>
      </c>
      <c r="G78" s="2">
        <f t="shared" ca="1" si="2"/>
        <v>238.31899999999996</v>
      </c>
      <c r="H78" s="2">
        <f t="shared" ca="1" si="4"/>
        <v>247.60199999999995</v>
      </c>
      <c r="I78" s="3">
        <f t="shared" ca="1" si="5"/>
        <v>4.2693461853232861E-2</v>
      </c>
      <c r="J78">
        <f t="shared" ca="1" si="6"/>
        <v>8.3399000000000001</v>
      </c>
      <c r="K78" s="2">
        <f t="shared" ca="1" si="3"/>
        <v>8.7220600000000026</v>
      </c>
    </row>
    <row r="79" spans="1:11" x14ac:dyDescent="0.25">
      <c r="A79" vm="453">
        <f ca="1"/>
        <v>45772</v>
      </c>
      <c r="B79" vm="454">
        <f ca="1"/>
        <v>232.41</v>
      </c>
      <c r="C79" vm="455">
        <f ca="1"/>
        <v>228.95</v>
      </c>
      <c r="D79" vm="456">
        <f ca="1"/>
        <v>233.36</v>
      </c>
      <c r="E79" vm="457">
        <f ca="1"/>
        <v>226.32</v>
      </c>
      <c r="F79" vm="458">
        <f ca="1"/>
        <v>6700068</v>
      </c>
      <c r="G79" s="2">
        <f t="shared" ca="1" si="2"/>
        <v>237.62899999999999</v>
      </c>
      <c r="H79" s="2">
        <f t="shared" ca="1" si="4"/>
        <v>247.1339999999999</v>
      </c>
      <c r="I79" s="3">
        <f t="shared" ca="1" si="5"/>
        <v>5.669728107665728E-2</v>
      </c>
      <c r="J79">
        <f t="shared" ca="1" si="6"/>
        <v>7.0400000000000205</v>
      </c>
      <c r="K79" s="2">
        <f t="shared" ca="1" si="3"/>
        <v>8.8453100000000013</v>
      </c>
    </row>
    <row r="80" spans="1:11" x14ac:dyDescent="0.25">
      <c r="A80" vm="459">
        <f ca="1"/>
        <v>45775</v>
      </c>
      <c r="B80" vm="460">
        <f ca="1"/>
        <v>236.16</v>
      </c>
      <c r="C80" vm="461">
        <f ca="1"/>
        <v>232.86</v>
      </c>
      <c r="D80" vm="462">
        <f ca="1"/>
        <v>236.63</v>
      </c>
      <c r="E80" vm="463">
        <f ca="1"/>
        <v>232.07</v>
      </c>
      <c r="F80" vm="464">
        <f ca="1"/>
        <v>3653461</v>
      </c>
      <c r="G80" s="2">
        <f t="shared" ca="1" si="2"/>
        <v>237.23699999999999</v>
      </c>
      <c r="H80" s="2">
        <f t="shared" ca="1" si="4"/>
        <v>246.67339999999993</v>
      </c>
      <c r="I80" s="3">
        <f t="shared" ca="1" si="5"/>
        <v>7.374738565063188E-2</v>
      </c>
      <c r="J80">
        <f t="shared" ca="1" si="6"/>
        <v>4.5600000000000023</v>
      </c>
      <c r="K80" s="2">
        <f t="shared" ca="1" si="3"/>
        <v>8.7983100000000025</v>
      </c>
    </row>
    <row r="81" spans="1:11" x14ac:dyDescent="0.25">
      <c r="A81" vm="465">
        <f ca="1"/>
        <v>45776</v>
      </c>
      <c r="B81" vm="466">
        <f ca="1"/>
        <v>239.39</v>
      </c>
      <c r="C81" vm="467">
        <f ca="1"/>
        <v>237</v>
      </c>
      <c r="D81" vm="468">
        <f ca="1"/>
        <v>239.98</v>
      </c>
      <c r="E81" vm="469">
        <f ca="1"/>
        <v>236.14</v>
      </c>
      <c r="F81" vm="470">
        <f ca="1"/>
        <v>3426508</v>
      </c>
      <c r="G81" s="2">
        <f t="shared" ca="1" si="2"/>
        <v>236.77349999999996</v>
      </c>
      <c r="H81" s="2">
        <f t="shared" ca="1" si="4"/>
        <v>246.23559999999989</v>
      </c>
      <c r="I81" s="3">
        <f t="shared" ca="1" si="5"/>
        <v>8.8433209057015461E-2</v>
      </c>
      <c r="J81">
        <f t="shared" ca="1" si="6"/>
        <v>3.8400000000000034</v>
      </c>
      <c r="K81" s="2">
        <f t="shared" ca="1" si="3"/>
        <v>8.5703100000000028</v>
      </c>
    </row>
    <row r="82" spans="1:11" x14ac:dyDescent="0.25">
      <c r="A82" vm="471">
        <f ca="1"/>
        <v>45777</v>
      </c>
      <c r="B82" vm="472">
        <f ca="1"/>
        <v>241.82</v>
      </c>
      <c r="C82" vm="410">
        <f ca="1"/>
        <v>236.73</v>
      </c>
      <c r="D82" vm="473">
        <f ca="1"/>
        <v>242.47</v>
      </c>
      <c r="E82" vm="474">
        <f ca="1"/>
        <v>234.34010000000001</v>
      </c>
      <c r="F82" vm="475">
        <f ca="1"/>
        <v>5142993</v>
      </c>
      <c r="G82" s="2">
        <f t="shared" ca="1" si="2"/>
        <v>236.3475</v>
      </c>
      <c r="H82" s="2">
        <f t="shared" ca="1" si="4"/>
        <v>245.81059999999991</v>
      </c>
      <c r="I82" s="3">
        <f t="shared" ca="1" si="5"/>
        <v>9.9481676820951215E-2</v>
      </c>
      <c r="J82">
        <f t="shared" ca="1" si="6"/>
        <v>8.1298999999999921</v>
      </c>
      <c r="K82" s="2">
        <f t="shared" ca="1" si="3"/>
        <v>8.6203050000000037</v>
      </c>
    </row>
    <row r="83" spans="1:11" x14ac:dyDescent="0.25">
      <c r="A83" vm="476">
        <f ca="1"/>
        <v>45778</v>
      </c>
      <c r="B83" vm="477">
        <f ca="1"/>
        <v>239.66</v>
      </c>
      <c r="C83" vm="478">
        <f ca="1"/>
        <v>241.44</v>
      </c>
      <c r="D83" vm="479">
        <f ca="1"/>
        <v>242.37</v>
      </c>
      <c r="E83" vm="480">
        <f ca="1"/>
        <v>237.94499999999999</v>
      </c>
      <c r="F83" vm="481">
        <f ca="1"/>
        <v>4243294</v>
      </c>
      <c r="G83" s="2">
        <f t="shared" ca="1" si="2"/>
        <v>235.83149999999995</v>
      </c>
      <c r="H83" s="2">
        <f t="shared" ca="1" si="4"/>
        <v>245.31739999999988</v>
      </c>
      <c r="I83" s="3">
        <f t="shared" ca="1" si="5"/>
        <v>8.9660816586341729E-2</v>
      </c>
      <c r="J83">
        <f t="shared" ca="1" si="6"/>
        <v>4.4250000000000114</v>
      </c>
      <c r="K83" s="2">
        <f t="shared" ca="1" si="3"/>
        <v>8.5635550000000045</v>
      </c>
    </row>
    <row r="84" spans="1:11" x14ac:dyDescent="0.25">
      <c r="A84" vm="482">
        <f ca="1"/>
        <v>45779</v>
      </c>
      <c r="B84" vm="483">
        <f ca="1"/>
        <v>245.55</v>
      </c>
      <c r="C84" vm="484">
        <f ca="1"/>
        <v>243.125</v>
      </c>
      <c r="D84" vm="485">
        <f ca="1"/>
        <v>245.69</v>
      </c>
      <c r="E84" vm="486">
        <f ca="1"/>
        <v>241.33</v>
      </c>
      <c r="F84" vm="487">
        <f ca="1"/>
        <v>3731946</v>
      </c>
      <c r="G84" s="2">
        <f t="shared" ca="1" si="2"/>
        <v>235.93449999999999</v>
      </c>
      <c r="H84" s="2">
        <f t="shared" ca="1" si="4"/>
        <v>244.93359999999987</v>
      </c>
      <c r="I84" s="3">
        <f t="shared" ca="1" si="5"/>
        <v>0.11644084750386474</v>
      </c>
      <c r="J84">
        <f t="shared" ca="1" si="6"/>
        <v>4.3599999999999852</v>
      </c>
      <c r="K84" s="2">
        <f t="shared" ca="1" si="3"/>
        <v>8.3775550000000027</v>
      </c>
    </row>
    <row r="85" spans="1:11" x14ac:dyDescent="0.25">
      <c r="A85" vm="488">
        <f ca="1"/>
        <v>45782</v>
      </c>
      <c r="B85" vm="489">
        <f ca="1"/>
        <v>249.18</v>
      </c>
      <c r="C85" vm="490">
        <f ca="1"/>
        <v>243.74</v>
      </c>
      <c r="D85" vm="491">
        <f ca="1"/>
        <v>249.8</v>
      </c>
      <c r="E85" vm="492">
        <f ca="1"/>
        <v>243.64</v>
      </c>
      <c r="F85" vm="493">
        <f ca="1"/>
        <v>4138168</v>
      </c>
      <c r="G85" s="2">
        <f t="shared" ca="1" si="2"/>
        <v>237.01950000000002</v>
      </c>
      <c r="H85" s="2">
        <f t="shared" ca="1" si="4"/>
        <v>244.68759999999986</v>
      </c>
      <c r="I85" s="3">
        <f t="shared" ca="1" si="5"/>
        <v>0.13294534873147223</v>
      </c>
      <c r="J85">
        <f t="shared" ca="1" si="6"/>
        <v>6.160000000000025</v>
      </c>
      <c r="K85" s="2">
        <f t="shared" ca="1" si="3"/>
        <v>8.0215550000000029</v>
      </c>
    </row>
    <row r="86" spans="1:11" x14ac:dyDescent="0.25">
      <c r="A86" vm="494">
        <f ca="1"/>
        <v>45783</v>
      </c>
      <c r="B86" vm="495">
        <f ca="1"/>
        <v>249.12</v>
      </c>
      <c r="C86" vm="496">
        <f ca="1"/>
        <v>247.76</v>
      </c>
      <c r="D86" vm="231">
        <f ca="1"/>
        <v>250.19</v>
      </c>
      <c r="E86" vm="497">
        <f ca="1"/>
        <v>246.11</v>
      </c>
      <c r="F86" vm="498">
        <f ca="1"/>
        <v>2900556</v>
      </c>
      <c r="G86" s="2">
        <f t="shared" ref="G86:G149" ca="1" si="7">AVERAGE(B67:B86)</f>
        <v>238.18649999999997</v>
      </c>
      <c r="H86" s="2">
        <f t="shared" ca="1" si="4"/>
        <v>244.43259999999992</v>
      </c>
      <c r="I86" s="3">
        <f t="shared" ca="1" si="5"/>
        <v>0.13267254705828857</v>
      </c>
      <c r="J86">
        <f t="shared" ca="1" si="6"/>
        <v>4.0799999999999841</v>
      </c>
      <c r="K86" s="2">
        <f t="shared" ref="K86:K149" ca="1" si="8">AVERAGE(J67:J86)</f>
        <v>7.3360550000000035</v>
      </c>
    </row>
    <row r="87" spans="1:11" x14ac:dyDescent="0.25">
      <c r="A87" vm="499">
        <f ca="1"/>
        <v>45784</v>
      </c>
      <c r="B87" vm="500">
        <f ca="1"/>
        <v>253.37</v>
      </c>
      <c r="C87" vm="501">
        <f ca="1"/>
        <v>249.45</v>
      </c>
      <c r="D87" vm="502">
        <f ca="1"/>
        <v>254.47</v>
      </c>
      <c r="E87" vm="503">
        <f ca="1"/>
        <v>248.83199999999999</v>
      </c>
      <c r="F87" vm="504">
        <f ca="1"/>
        <v>3400001</v>
      </c>
      <c r="G87" s="2">
        <f t="shared" ca="1" si="7"/>
        <v>239.80349999999999</v>
      </c>
      <c r="H87" s="2">
        <f t="shared" ca="1" si="4"/>
        <v>244.34499999999991</v>
      </c>
      <c r="I87" s="3">
        <f t="shared" ca="1" si="5"/>
        <v>0.15199599890879334</v>
      </c>
      <c r="J87">
        <f t="shared" ca="1" si="6"/>
        <v>5.6380000000000052</v>
      </c>
      <c r="K87" s="2">
        <f t="shared" ca="1" si="8"/>
        <v>6.8294550000000029</v>
      </c>
    </row>
    <row r="88" spans="1:11" x14ac:dyDescent="0.25">
      <c r="A88" vm="505">
        <f ca="1"/>
        <v>45785</v>
      </c>
      <c r="B88" vm="506">
        <f ca="1"/>
        <v>254.14</v>
      </c>
      <c r="C88" vm="507">
        <f ca="1"/>
        <v>255</v>
      </c>
      <c r="D88" vm="508">
        <f ca="1"/>
        <v>256.52</v>
      </c>
      <c r="E88" vm="509">
        <f ca="1"/>
        <v>253.25</v>
      </c>
      <c r="F88" vm="510">
        <f ca="1"/>
        <v>3637012</v>
      </c>
      <c r="G88" s="2">
        <f t="shared" ca="1" si="7"/>
        <v>240.74499999999998</v>
      </c>
      <c r="H88" s="2">
        <f t="shared" ca="1" si="4"/>
        <v>244.31099999999992</v>
      </c>
      <c r="I88" s="3">
        <f t="shared" ca="1" si="5"/>
        <v>0.15549695371464933</v>
      </c>
      <c r="J88">
        <f t="shared" ca="1" si="6"/>
        <v>3.2699999999999818</v>
      </c>
      <c r="K88" s="2">
        <f t="shared" ca="1" si="8"/>
        <v>5.9361350000000019</v>
      </c>
    </row>
    <row r="89" spans="1:11" x14ac:dyDescent="0.25">
      <c r="A89" vm="511">
        <f ca="1"/>
        <v>45786</v>
      </c>
      <c r="B89" vm="512">
        <f ca="1"/>
        <v>249.2</v>
      </c>
      <c r="C89" vm="296">
        <f ca="1"/>
        <v>252.51</v>
      </c>
      <c r="D89" vm="513">
        <f ca="1"/>
        <v>253</v>
      </c>
      <c r="E89" vm="514">
        <f ca="1"/>
        <v>247.64</v>
      </c>
      <c r="F89" vm="515">
        <f ca="1"/>
        <v>2901346</v>
      </c>
      <c r="G89" s="2">
        <f t="shared" ca="1" si="7"/>
        <v>241.72750000000002</v>
      </c>
      <c r="H89" s="2">
        <f t="shared" ca="1" si="4"/>
        <v>244.23039999999995</v>
      </c>
      <c r="I89" s="3">
        <f t="shared" ca="1" si="5"/>
        <v>0.13303628262253331</v>
      </c>
      <c r="J89">
        <f t="shared" ca="1" si="6"/>
        <v>5.3600000000000136</v>
      </c>
      <c r="K89" s="2">
        <f t="shared" ca="1" si="8"/>
        <v>5.6766350000000028</v>
      </c>
    </row>
    <row r="90" spans="1:11" x14ac:dyDescent="0.25">
      <c r="A90" vm="516">
        <f ca="1"/>
        <v>45789</v>
      </c>
      <c r="B90" vm="517">
        <f ca="1"/>
        <v>253.69</v>
      </c>
      <c r="C90" vm="518">
        <f ca="1"/>
        <v>252.5</v>
      </c>
      <c r="D90" vm="519">
        <f ca="1"/>
        <v>253.81</v>
      </c>
      <c r="E90" vm="520">
        <f ca="1"/>
        <v>244.65</v>
      </c>
      <c r="F90" vm="521">
        <f ca="1"/>
        <v>4609520</v>
      </c>
      <c r="G90" s="2">
        <f t="shared" ca="1" si="7"/>
        <v>242.63799999999998</v>
      </c>
      <c r="H90" s="2">
        <f t="shared" ca="1" si="4"/>
        <v>244.25539999999992</v>
      </c>
      <c r="I90" s="3">
        <f t="shared" ca="1" si="5"/>
        <v>0.15345094116577251</v>
      </c>
      <c r="J90">
        <f t="shared" ca="1" si="6"/>
        <v>9.1599999999999966</v>
      </c>
      <c r="K90" s="2">
        <f t="shared" ca="1" si="8"/>
        <v>5.6311350000000022</v>
      </c>
    </row>
    <row r="91" spans="1:11" x14ac:dyDescent="0.25">
      <c r="A91" vm="522">
        <f ca="1"/>
        <v>45790</v>
      </c>
      <c r="B91" vm="523">
        <f ca="1"/>
        <v>258.58999999999997</v>
      </c>
      <c r="C91" vm="524">
        <f ca="1"/>
        <v>254.43</v>
      </c>
      <c r="D91" vm="204">
        <f ca="1"/>
        <v>259.58</v>
      </c>
      <c r="E91" vm="525">
        <f ca="1"/>
        <v>252.88</v>
      </c>
      <c r="F91" vm="526">
        <f ca="1"/>
        <v>3521389</v>
      </c>
      <c r="G91" s="2">
        <f t="shared" ca="1" si="7"/>
        <v>243.61449999999996</v>
      </c>
      <c r="H91" s="2">
        <f t="shared" ca="1" si="4"/>
        <v>244.42339999999996</v>
      </c>
      <c r="I91" s="3">
        <f t="shared" ca="1" si="5"/>
        <v>0.17572974447576595</v>
      </c>
      <c r="J91">
        <f t="shared" ca="1" si="6"/>
        <v>6.6999999999999886</v>
      </c>
      <c r="K91" s="2">
        <f t="shared" ca="1" si="8"/>
        <v>5.7141350000000006</v>
      </c>
    </row>
    <row r="92" spans="1:11" x14ac:dyDescent="0.25">
      <c r="A92" vm="527">
        <f ca="1"/>
        <v>45791</v>
      </c>
      <c r="B92" vm="528">
        <f ca="1"/>
        <v>257.82</v>
      </c>
      <c r="C92" vm="529">
        <f ca="1"/>
        <v>257.60000000000002</v>
      </c>
      <c r="D92" vm="530">
        <f ca="1"/>
        <v>260.55</v>
      </c>
      <c r="E92" vm="531">
        <f ca="1"/>
        <v>256.22000000000003</v>
      </c>
      <c r="F92" vm="532">
        <f ca="1"/>
        <v>3635124</v>
      </c>
      <c r="G92" s="2">
        <f t="shared" ca="1" si="7"/>
        <v>244.47049999999996</v>
      </c>
      <c r="H92" s="2">
        <f t="shared" ca="1" si="4"/>
        <v>244.51559999999998</v>
      </c>
      <c r="I92" s="3">
        <f t="shared" ca="1" si="5"/>
        <v>0.17222878966990995</v>
      </c>
      <c r="J92">
        <f t="shared" ca="1" si="6"/>
        <v>4.3299999999999841</v>
      </c>
      <c r="K92" s="2">
        <f t="shared" ca="1" si="8"/>
        <v>5.7676350000000003</v>
      </c>
    </row>
    <row r="93" spans="1:11" x14ac:dyDescent="0.25">
      <c r="A93" vm="533">
        <f ca="1"/>
        <v>45792</v>
      </c>
      <c r="B93" vm="534">
        <f ca="1"/>
        <v>266.68</v>
      </c>
      <c r="C93" vm="535">
        <f ca="1"/>
        <v>259.01</v>
      </c>
      <c r="D93" vm="536">
        <f ca="1"/>
        <v>267.43</v>
      </c>
      <c r="E93" vm="537">
        <f ca="1"/>
        <v>258.61</v>
      </c>
      <c r="F93" vm="538">
        <f ca="1"/>
        <v>4856276</v>
      </c>
      <c r="G93" s="2">
        <f t="shared" ca="1" si="7"/>
        <v>245.87599999999998</v>
      </c>
      <c r="H93" s="2">
        <f t="shared" ca="1" si="4"/>
        <v>244.82219999999998</v>
      </c>
      <c r="I93" s="3">
        <f t="shared" ca="1" si="5"/>
        <v>0.21251250341002104</v>
      </c>
      <c r="J93">
        <f t="shared" ca="1" si="6"/>
        <v>8.8199999999999932</v>
      </c>
      <c r="K93" s="2">
        <f t="shared" ca="1" si="8"/>
        <v>5.8381399999999983</v>
      </c>
    </row>
    <row r="94" spans="1:11" x14ac:dyDescent="0.25">
      <c r="A94" vm="539">
        <f ca="1"/>
        <v>45793</v>
      </c>
      <c r="B94" vm="540">
        <f ca="1"/>
        <v>266.76</v>
      </c>
      <c r="C94" vm="541">
        <f ca="1"/>
        <v>266.35000000000002</v>
      </c>
      <c r="D94" vm="542">
        <f ca="1"/>
        <v>267.98</v>
      </c>
      <c r="E94" vm="543">
        <f ca="1"/>
        <v>264.58999999999997</v>
      </c>
      <c r="F94" vm="544">
        <f ca="1"/>
        <v>3817937</v>
      </c>
      <c r="G94" s="2">
        <f t="shared" ca="1" si="7"/>
        <v>247.27350000000001</v>
      </c>
      <c r="H94" s="2">
        <f t="shared" ca="1" si="4"/>
        <v>245.18360000000001</v>
      </c>
      <c r="I94" s="3">
        <f t="shared" ca="1" si="5"/>
        <v>0.21287623897426577</v>
      </c>
      <c r="J94">
        <f t="shared" ca="1" si="6"/>
        <v>3.3900000000000432</v>
      </c>
      <c r="K94" s="2">
        <f t="shared" ca="1" si="8"/>
        <v>5.7888900000000003</v>
      </c>
    </row>
    <row r="95" spans="1:11" x14ac:dyDescent="0.25">
      <c r="A95" vm="545">
        <f ca="1"/>
        <v>45796</v>
      </c>
      <c r="B95" vm="546">
        <f ca="1"/>
        <v>268.41000000000003</v>
      </c>
      <c r="C95" vm="547">
        <f ca="1"/>
        <v>265.45</v>
      </c>
      <c r="D95" vm="548">
        <f ca="1"/>
        <v>269.13499999999999</v>
      </c>
      <c r="E95" vm="549">
        <f ca="1"/>
        <v>265.08</v>
      </c>
      <c r="F95" vm="550">
        <f ca="1"/>
        <v>3198903</v>
      </c>
      <c r="G95" s="2">
        <f t="shared" ca="1" si="7"/>
        <v>248.88299999999998</v>
      </c>
      <c r="H95" s="2">
        <f t="shared" ca="1" si="4"/>
        <v>245.321</v>
      </c>
      <c r="I95" s="3">
        <f t="shared" ca="1" si="5"/>
        <v>0.22037828498681478</v>
      </c>
      <c r="J95">
        <f t="shared" ca="1" si="6"/>
        <v>4.0550000000000068</v>
      </c>
      <c r="K95" s="2">
        <f t="shared" ca="1" si="8"/>
        <v>5.5978900000000014</v>
      </c>
    </row>
    <row r="96" spans="1:11" x14ac:dyDescent="0.25">
      <c r="A96" vm="551">
        <f ca="1"/>
        <v>45797</v>
      </c>
      <c r="B96" vm="552">
        <f ca="1"/>
        <v>266.95</v>
      </c>
      <c r="C96" vm="553">
        <f ca="1"/>
        <v>267.39999999999998</v>
      </c>
      <c r="D96" vm="554">
        <f ca="1"/>
        <v>269.27999999999997</v>
      </c>
      <c r="E96" vm="555">
        <f ca="1"/>
        <v>265.62009999999998</v>
      </c>
      <c r="F96" vm="556">
        <f ca="1"/>
        <v>2437860</v>
      </c>
      <c r="G96" s="2">
        <f t="shared" ca="1" si="7"/>
        <v>250.18549999999999</v>
      </c>
      <c r="H96" s="2">
        <f t="shared" ca="1" si="4"/>
        <v>245.52200000000002</v>
      </c>
      <c r="I96" s="3">
        <f t="shared" ca="1" si="5"/>
        <v>0.21374011093934708</v>
      </c>
      <c r="J96">
        <f t="shared" ca="1" si="6"/>
        <v>3.6598999999999933</v>
      </c>
      <c r="K96" s="2">
        <f t="shared" ca="1" si="8"/>
        <v>5.5498850000000015</v>
      </c>
    </row>
    <row r="97" spans="1:11" x14ac:dyDescent="0.25">
      <c r="A97" vm="557">
        <f ca="1"/>
        <v>45798</v>
      </c>
      <c r="B97" vm="558">
        <f ca="1"/>
        <v>260.87</v>
      </c>
      <c r="C97" vm="559">
        <f ca="1"/>
        <v>264.97000000000003</v>
      </c>
      <c r="D97" vm="560">
        <f ca="1"/>
        <v>265.6499</v>
      </c>
      <c r="E97" vm="561">
        <f ca="1"/>
        <v>260.41000000000003</v>
      </c>
      <c r="F97" vm="562">
        <f ca="1"/>
        <v>3753904</v>
      </c>
      <c r="G97" s="2">
        <f t="shared" ca="1" si="7"/>
        <v>250.95499999999998</v>
      </c>
      <c r="H97" s="2">
        <f t="shared" ca="1" si="4"/>
        <v>245.76040000000003</v>
      </c>
      <c r="I97" s="3">
        <f t="shared" ca="1" si="5"/>
        <v>0.18609620805674276</v>
      </c>
      <c r="J97">
        <f t="shared" ca="1" si="6"/>
        <v>5.2398999999999774</v>
      </c>
      <c r="K97" s="2">
        <f t="shared" ca="1" si="8"/>
        <v>5.5278800000000006</v>
      </c>
    </row>
    <row r="98" spans="1:11" x14ac:dyDescent="0.25">
      <c r="A98" vm="563">
        <f ca="1"/>
        <v>45799</v>
      </c>
      <c r="B98" vm="564">
        <f ca="1"/>
        <v>258.37</v>
      </c>
      <c r="C98" vm="565">
        <f ca="1"/>
        <v>260.77</v>
      </c>
      <c r="D98" vm="566">
        <f ca="1"/>
        <v>261.27109999999999</v>
      </c>
      <c r="E98" vm="175">
        <f ca="1"/>
        <v>257.91000000000003</v>
      </c>
      <c r="F98" vm="567">
        <f ca="1"/>
        <v>3091253</v>
      </c>
      <c r="G98" s="2">
        <f t="shared" ca="1" si="7"/>
        <v>252.40699999999998</v>
      </c>
      <c r="H98" s="2">
        <f t="shared" ca="1" si="4"/>
        <v>245.93520000000007</v>
      </c>
      <c r="I98" s="3">
        <f t="shared" ca="1" si="5"/>
        <v>0.17472947167409303</v>
      </c>
      <c r="J98">
        <f t="shared" ca="1" si="6"/>
        <v>3.3610999999999649</v>
      </c>
      <c r="K98" s="2">
        <f t="shared" ca="1" si="8"/>
        <v>5.2789399999999986</v>
      </c>
    </row>
    <row r="99" spans="1:11" x14ac:dyDescent="0.25">
      <c r="A99" vm="568">
        <f ca="1"/>
        <v>45800</v>
      </c>
      <c r="B99" vm="569">
        <f ca="1"/>
        <v>258.63</v>
      </c>
      <c r="C99" vm="570">
        <f ca="1"/>
        <v>258.58</v>
      </c>
      <c r="D99" vm="571">
        <f ca="1"/>
        <v>259.86959999999999</v>
      </c>
      <c r="E99" vm="572">
        <f ca="1"/>
        <v>255.79</v>
      </c>
      <c r="F99" vm="573">
        <f ca="1"/>
        <v>2722721</v>
      </c>
      <c r="G99" s="2">
        <f t="shared" ca="1" si="7"/>
        <v>253.71799999999999</v>
      </c>
      <c r="H99" s="2">
        <f t="shared" ca="1" si="4"/>
        <v>246.19180000000009</v>
      </c>
      <c r="I99" s="3">
        <f t="shared" ca="1" si="5"/>
        <v>0.17591161225788854</v>
      </c>
      <c r="J99">
        <f t="shared" ca="1" si="6"/>
        <v>4.0795999999999992</v>
      </c>
      <c r="K99" s="2">
        <f t="shared" ca="1" si="8"/>
        <v>5.1309199999999979</v>
      </c>
    </row>
    <row r="100" spans="1:11" x14ac:dyDescent="0.25">
      <c r="A100" vm="574">
        <f ca="1"/>
        <v>45804</v>
      </c>
      <c r="B100" vm="575">
        <f ca="1"/>
        <v>263.23</v>
      </c>
      <c r="C100" vm="576">
        <f ca="1"/>
        <v>261</v>
      </c>
      <c r="D100" vm="577">
        <f ca="1"/>
        <v>263.7869</v>
      </c>
      <c r="E100" vm="578">
        <f ca="1"/>
        <v>259.63</v>
      </c>
      <c r="F100" vm="579">
        <f ca="1"/>
        <v>3284216</v>
      </c>
      <c r="G100" s="2">
        <f t="shared" ca="1" si="7"/>
        <v>255.07150000000001</v>
      </c>
      <c r="H100" s="2">
        <f t="shared" ca="1" si="4"/>
        <v>246.48940000000005</v>
      </c>
      <c r="I100" s="3">
        <f t="shared" ca="1" si="5"/>
        <v>0.19682640720196432</v>
      </c>
      <c r="J100">
        <f t="shared" ca="1" si="6"/>
        <v>4.1569000000000074</v>
      </c>
      <c r="K100" s="2">
        <f t="shared" ca="1" si="8"/>
        <v>5.110764999999998</v>
      </c>
    </row>
    <row r="101" spans="1:11" x14ac:dyDescent="0.25">
      <c r="A101" vm="580">
        <f ca="1"/>
        <v>45805</v>
      </c>
      <c r="B101" vm="581">
        <f ca="1"/>
        <v>260.24</v>
      </c>
      <c r="C101" vm="582">
        <f ca="1"/>
        <v>263.16000000000003</v>
      </c>
      <c r="D101" vm="583">
        <f ca="1"/>
        <v>265</v>
      </c>
      <c r="E101" vm="584">
        <f ca="1"/>
        <v>259.94</v>
      </c>
      <c r="F101" vm="585">
        <f ca="1"/>
        <v>2318437</v>
      </c>
      <c r="G101" s="2">
        <f t="shared" ca="1" si="7"/>
        <v>256.11399999999992</v>
      </c>
      <c r="H101" s="2">
        <f t="shared" ca="1" si="4"/>
        <v>246.63480000000007</v>
      </c>
      <c r="I101" s="3">
        <f t="shared" ca="1" si="5"/>
        <v>0.18323179048831495</v>
      </c>
      <c r="J101">
        <f t="shared" ca="1" si="6"/>
        <v>5.0600000000000023</v>
      </c>
      <c r="K101" s="2">
        <f t="shared" ca="1" si="8"/>
        <v>5.1717649999999979</v>
      </c>
    </row>
    <row r="102" spans="1:11" x14ac:dyDescent="0.25">
      <c r="A102" vm="586">
        <f ca="1"/>
        <v>45806</v>
      </c>
      <c r="B102" vm="587">
        <f ca="1"/>
        <v>258.69</v>
      </c>
      <c r="C102" vm="588">
        <f ca="1"/>
        <v>260.75</v>
      </c>
      <c r="D102" vm="589">
        <f ca="1"/>
        <v>261.13</v>
      </c>
      <c r="E102" vm="210">
        <f ca="1"/>
        <v>256.77</v>
      </c>
      <c r="F102" vm="590">
        <f ca="1"/>
        <v>2295228</v>
      </c>
      <c r="G102" s="2">
        <f t="shared" ca="1" si="7"/>
        <v>256.95749999999992</v>
      </c>
      <c r="H102" s="2">
        <f t="shared" ca="1" si="4"/>
        <v>246.86960000000008</v>
      </c>
      <c r="I102" s="3">
        <f t="shared" ca="1" si="5"/>
        <v>0.1761844139310722</v>
      </c>
      <c r="J102">
        <f t="shared" ca="1" si="6"/>
        <v>4.3600000000000136</v>
      </c>
      <c r="K102" s="2">
        <f t="shared" ca="1" si="8"/>
        <v>4.9832699999999992</v>
      </c>
    </row>
    <row r="103" spans="1:11" x14ac:dyDescent="0.25">
      <c r="A103" vm="591">
        <f ca="1"/>
        <v>45807</v>
      </c>
      <c r="B103" vm="592">
        <f ca="1"/>
        <v>259.06</v>
      </c>
      <c r="C103" vm="593">
        <f ca="1"/>
        <v>258.75</v>
      </c>
      <c r="D103" vm="594">
        <f ca="1"/>
        <v>260.12</v>
      </c>
      <c r="E103" vm="595">
        <f ca="1"/>
        <v>257.10000000000002</v>
      </c>
      <c r="F103" vm="596">
        <f ca="1"/>
        <v>9668923</v>
      </c>
      <c r="G103" s="2">
        <f t="shared" ca="1" si="7"/>
        <v>257.92749999999995</v>
      </c>
      <c r="H103" s="2">
        <f t="shared" ca="1" si="4"/>
        <v>247.00500000000002</v>
      </c>
      <c r="I103" s="3">
        <f t="shared" ca="1" si="5"/>
        <v>0.17786669091570428</v>
      </c>
      <c r="J103">
        <f t="shared" ca="1" si="6"/>
        <v>3.0199999999999818</v>
      </c>
      <c r="K103" s="2">
        <f t="shared" ca="1" si="8"/>
        <v>4.9130199999999977</v>
      </c>
    </row>
    <row r="104" spans="1:11" x14ac:dyDescent="0.25">
      <c r="A104" vm="597">
        <f ca="1"/>
        <v>45810</v>
      </c>
      <c r="B104" vm="598">
        <f ca="1"/>
        <v>263.89999999999998</v>
      </c>
      <c r="C104" vm="599">
        <f ca="1"/>
        <v>257.85000000000002</v>
      </c>
      <c r="D104" vm="600">
        <f ca="1"/>
        <v>263.976</v>
      </c>
      <c r="E104" vm="601">
        <f ca="1"/>
        <v>257.22000000000003</v>
      </c>
      <c r="F104" vm="602">
        <f ca="1"/>
        <v>2831881</v>
      </c>
      <c r="G104" s="2">
        <f t="shared" ca="1" si="7"/>
        <v>258.84499999999997</v>
      </c>
      <c r="H104" s="2">
        <f t="shared" ca="1" si="4"/>
        <v>247.41660000000005</v>
      </c>
      <c r="I104" s="3">
        <f t="shared" ca="1" si="5"/>
        <v>0.19987269255251428</v>
      </c>
      <c r="J104">
        <f t="shared" ca="1" si="6"/>
        <v>6.7559999999999718</v>
      </c>
      <c r="K104" s="2">
        <f t="shared" ca="1" si="8"/>
        <v>5.0328199999999965</v>
      </c>
    </row>
    <row r="105" spans="1:11" x14ac:dyDescent="0.25">
      <c r="A105" vm="603">
        <f ca="1"/>
        <v>45811</v>
      </c>
      <c r="B105" vm="604">
        <f ca="1"/>
        <v>265.2</v>
      </c>
      <c r="C105" vm="605">
        <f ca="1"/>
        <v>263.35000000000002</v>
      </c>
      <c r="D105" vm="606">
        <f ca="1"/>
        <v>265.56</v>
      </c>
      <c r="E105" vm="607">
        <f ca="1"/>
        <v>262.58</v>
      </c>
      <c r="F105" vm="608">
        <f ca="1"/>
        <v>2494922</v>
      </c>
      <c r="G105" s="2">
        <f t="shared" ca="1" si="7"/>
        <v>259.64599999999996</v>
      </c>
      <c r="H105" s="2">
        <f t="shared" ca="1" si="4"/>
        <v>247.84320000000002</v>
      </c>
      <c r="I105" s="3">
        <f t="shared" ca="1" si="5"/>
        <v>0.20578339547149227</v>
      </c>
      <c r="J105">
        <f t="shared" ca="1" si="6"/>
        <v>2.9800000000000182</v>
      </c>
      <c r="K105" s="2">
        <f t="shared" ca="1" si="8"/>
        <v>4.8738199999999967</v>
      </c>
    </row>
    <row r="106" spans="1:11" x14ac:dyDescent="0.25">
      <c r="A106" vm="609">
        <f ca="1"/>
        <v>45812</v>
      </c>
      <c r="B106" vm="610">
        <f ca="1"/>
        <v>265.52</v>
      </c>
      <c r="C106" vm="611">
        <f ca="1"/>
        <v>264.89999999999998</v>
      </c>
      <c r="D106" vm="612">
        <f ca="1"/>
        <v>267</v>
      </c>
      <c r="E106" vm="613">
        <f ca="1"/>
        <v>264.79000000000002</v>
      </c>
      <c r="F106" vm="614">
        <f ca="1"/>
        <v>2588741</v>
      </c>
      <c r="G106" s="2">
        <f t="shared" ca="1" si="7"/>
        <v>260.46600000000001</v>
      </c>
      <c r="H106" s="2">
        <f t="shared" ca="1" si="4"/>
        <v>248.18460000000002</v>
      </c>
      <c r="I106" s="3">
        <f t="shared" ca="1" si="5"/>
        <v>0.20723833772847122</v>
      </c>
      <c r="J106">
        <f t="shared" ca="1" si="6"/>
        <v>2.2099999999999795</v>
      </c>
      <c r="K106" s="2">
        <f t="shared" ca="1" si="8"/>
        <v>4.7803199999999961</v>
      </c>
    </row>
    <row r="107" spans="1:11" x14ac:dyDescent="0.25">
      <c r="A107" vm="615">
        <f ca="1"/>
        <v>45813</v>
      </c>
      <c r="B107" vm="616">
        <f ca="1"/>
        <v>266.86</v>
      </c>
      <c r="C107" vm="604">
        <f ca="1"/>
        <v>265.2</v>
      </c>
      <c r="D107" vm="617">
        <f ca="1"/>
        <v>267.51</v>
      </c>
      <c r="E107" vm="618">
        <f ca="1"/>
        <v>265.10000000000002</v>
      </c>
      <c r="F107" vm="619">
        <f ca="1"/>
        <v>2659478</v>
      </c>
      <c r="G107" s="2">
        <f t="shared" ca="1" si="7"/>
        <v>261.14049999999992</v>
      </c>
      <c r="H107" s="2">
        <f t="shared" ca="1" si="4"/>
        <v>248.52380000000002</v>
      </c>
      <c r="I107" s="3">
        <f t="shared" ca="1" si="5"/>
        <v>0.21333090842957181</v>
      </c>
      <c r="J107">
        <f t="shared" ca="1" si="6"/>
        <v>2.4099999999999682</v>
      </c>
      <c r="K107" s="2">
        <f t="shared" ca="1" si="8"/>
        <v>4.6189199999999939</v>
      </c>
    </row>
    <row r="108" spans="1:11" x14ac:dyDescent="0.25">
      <c r="A108" vm="620">
        <f ca="1"/>
        <v>45814</v>
      </c>
      <c r="B108" vm="621">
        <f ca="1"/>
        <v>268.87</v>
      </c>
      <c r="C108" vm="622">
        <f ca="1"/>
        <v>267.99</v>
      </c>
      <c r="D108" vm="623">
        <f ca="1"/>
        <v>270.17</v>
      </c>
      <c r="E108" vm="624">
        <f ca="1"/>
        <v>267.52999999999997</v>
      </c>
      <c r="F108" vm="625">
        <f ca="1"/>
        <v>2495543</v>
      </c>
      <c r="G108" s="2">
        <f t="shared" ca="1" si="7"/>
        <v>261.87699999999995</v>
      </c>
      <c r="H108" s="2">
        <f t="shared" ca="1" si="4"/>
        <v>248.89440000000005</v>
      </c>
      <c r="I108" s="3">
        <f t="shared" ca="1" si="5"/>
        <v>0.22246976448122213</v>
      </c>
      <c r="J108">
        <f t="shared" ca="1" si="6"/>
        <v>2.6400000000000432</v>
      </c>
      <c r="K108" s="2">
        <f t="shared" ca="1" si="8"/>
        <v>4.5874199999999972</v>
      </c>
    </row>
    <row r="109" spans="1:11" x14ac:dyDescent="0.25">
      <c r="A109" vm="626">
        <f ca="1"/>
        <v>45817</v>
      </c>
      <c r="B109" vm="627">
        <f ca="1"/>
        <v>272.08</v>
      </c>
      <c r="C109" vm="628">
        <f ca="1"/>
        <v>268.10000000000002</v>
      </c>
      <c r="D109" vm="629">
        <f ca="1"/>
        <v>273.47000000000003</v>
      </c>
      <c r="E109" vm="630">
        <f ca="1"/>
        <v>266.70999999999998</v>
      </c>
      <c r="F109" vm="631">
        <f ca="1"/>
        <v>4331464</v>
      </c>
      <c r="G109" s="2">
        <f t="shared" ca="1" si="7"/>
        <v>263.02100000000002</v>
      </c>
      <c r="H109" s="2">
        <f t="shared" ca="1" si="4"/>
        <v>249.41180000000003</v>
      </c>
      <c r="I109" s="3">
        <f t="shared" ca="1" si="5"/>
        <v>0.23706465399654442</v>
      </c>
      <c r="J109">
        <f t="shared" ca="1" si="6"/>
        <v>6.7600000000000477</v>
      </c>
      <c r="K109" s="2">
        <f t="shared" ca="1" si="8"/>
        <v>4.6574199999999992</v>
      </c>
    </row>
    <row r="110" spans="1:11" x14ac:dyDescent="0.25">
      <c r="A110" vm="632">
        <f ca="1"/>
        <v>45818</v>
      </c>
      <c r="B110" vm="633">
        <f ca="1"/>
        <v>276.24</v>
      </c>
      <c r="C110" vm="634">
        <f ca="1"/>
        <v>273.19</v>
      </c>
      <c r="D110" vm="635">
        <f ca="1"/>
        <v>277.47000000000003</v>
      </c>
      <c r="E110" vm="636">
        <f ca="1"/>
        <v>272.56</v>
      </c>
      <c r="F110" vm="637">
        <f ca="1"/>
        <v>5163507</v>
      </c>
      <c r="G110" s="2">
        <f t="shared" ca="1" si="7"/>
        <v>264.14849999999996</v>
      </c>
      <c r="H110" s="2">
        <f t="shared" ca="1" si="4"/>
        <v>250.05660000000003</v>
      </c>
      <c r="I110" s="3">
        <f t="shared" ca="1" si="5"/>
        <v>0.25597890333727391</v>
      </c>
      <c r="J110">
        <f t="shared" ca="1" si="6"/>
        <v>4.910000000000025</v>
      </c>
      <c r="K110" s="2">
        <f t="shared" ca="1" si="8"/>
        <v>4.4449200000000006</v>
      </c>
    </row>
    <row r="111" spans="1:11" x14ac:dyDescent="0.25">
      <c r="A111" vm="638">
        <f ca="1"/>
        <v>45819</v>
      </c>
      <c r="B111" vm="639">
        <f ca="1"/>
        <v>281.52</v>
      </c>
      <c r="C111" vm="640">
        <f ca="1"/>
        <v>276.7</v>
      </c>
      <c r="D111" vm="641">
        <f ca="1"/>
        <v>281.75</v>
      </c>
      <c r="E111" vm="642">
        <f ca="1"/>
        <v>275.11</v>
      </c>
      <c r="F111" vm="643">
        <f ca="1"/>
        <v>4656034</v>
      </c>
      <c r="G111" s="2">
        <f t="shared" ca="1" si="7"/>
        <v>265.29499999999996</v>
      </c>
      <c r="H111" s="2">
        <f t="shared" ca="1" si="4"/>
        <v>250.71380000000005</v>
      </c>
      <c r="I111" s="3">
        <f t="shared" ca="1" si="5"/>
        <v>0.27998545057743018</v>
      </c>
      <c r="J111">
        <f t="shared" ca="1" si="6"/>
        <v>6.6399999999999864</v>
      </c>
      <c r="K111" s="2">
        <f t="shared" ca="1" si="8"/>
        <v>4.4419200000000005</v>
      </c>
    </row>
    <row r="112" spans="1:11" x14ac:dyDescent="0.25">
      <c r="A112" vm="644">
        <f ca="1"/>
        <v>45820</v>
      </c>
      <c r="B112" vm="645">
        <f ca="1"/>
        <v>281.02999999999997</v>
      </c>
      <c r="C112" vm="646">
        <f ca="1"/>
        <v>281.52999999999997</v>
      </c>
      <c r="D112" vm="647">
        <f ca="1"/>
        <v>283.06</v>
      </c>
      <c r="E112" vm="648">
        <f ca="1"/>
        <v>279.83</v>
      </c>
      <c r="F112" vm="649">
        <f ca="1"/>
        <v>3418007</v>
      </c>
      <c r="G112" s="2">
        <f t="shared" ca="1" si="7"/>
        <v>266.45549999999997</v>
      </c>
      <c r="H112" s="2">
        <f t="shared" ca="1" si="4"/>
        <v>251.32760000000005</v>
      </c>
      <c r="I112" s="3">
        <f t="shared" ca="1" si="5"/>
        <v>0.27775757024643077</v>
      </c>
      <c r="J112">
        <f t="shared" ca="1" si="6"/>
        <v>3.2300000000000182</v>
      </c>
      <c r="K112" s="2">
        <f t="shared" ca="1" si="8"/>
        <v>4.3869200000000017</v>
      </c>
    </row>
    <row r="113" spans="1:11" x14ac:dyDescent="0.25">
      <c r="A113" vm="650">
        <f ca="1"/>
        <v>45821</v>
      </c>
      <c r="B113" vm="651">
        <f ca="1"/>
        <v>277.22000000000003</v>
      </c>
      <c r="C113" vm="652">
        <f ca="1"/>
        <v>278.20499999999998</v>
      </c>
      <c r="D113" vm="653">
        <f ca="1"/>
        <v>279.83999999999997</v>
      </c>
      <c r="E113" vm="654">
        <f ca="1"/>
        <v>275.83</v>
      </c>
      <c r="F113" vm="655">
        <f ca="1"/>
        <v>3243824</v>
      </c>
      <c r="G113" s="2">
        <f t="shared" ca="1" si="7"/>
        <v>266.98249999999996</v>
      </c>
      <c r="H113" s="2">
        <f t="shared" ca="1" si="4"/>
        <v>251.87240000000003</v>
      </c>
      <c r="I113" s="3">
        <f t="shared" ca="1" si="5"/>
        <v>0.26043466399927273</v>
      </c>
      <c r="J113">
        <f t="shared" ca="1" si="6"/>
        <v>4.0099999999999909</v>
      </c>
      <c r="K113" s="2">
        <f t="shared" ca="1" si="8"/>
        <v>4.1464200000000018</v>
      </c>
    </row>
    <row r="114" spans="1:11" x14ac:dyDescent="0.25">
      <c r="A114" vm="656">
        <f ca="1"/>
        <v>45824</v>
      </c>
      <c r="B114" vm="657">
        <f ca="1"/>
        <v>281.83</v>
      </c>
      <c r="C114" vm="658">
        <f ca="1"/>
        <v>279.30500000000001</v>
      </c>
      <c r="D114" vm="659">
        <f ca="1"/>
        <v>284.5</v>
      </c>
      <c r="E114" vm="660">
        <f ca="1"/>
        <v>278.66570000000002</v>
      </c>
      <c r="F114" vm="661">
        <f ca="1"/>
        <v>3685321</v>
      </c>
      <c r="G114" s="2">
        <f t="shared" ca="1" si="7"/>
        <v>267.73599999999999</v>
      </c>
      <c r="H114" s="2">
        <f t="shared" ca="1" si="4"/>
        <v>252.63920000000002</v>
      </c>
      <c r="I114" s="3">
        <f t="shared" ca="1" si="5"/>
        <v>0.28139492588887882</v>
      </c>
      <c r="J114">
        <f t="shared" ca="1" si="6"/>
        <v>5.8342999999999847</v>
      </c>
      <c r="K114" s="2">
        <f t="shared" ca="1" si="8"/>
        <v>4.2686349999999988</v>
      </c>
    </row>
    <row r="115" spans="1:11" x14ac:dyDescent="0.25">
      <c r="A115" vm="662">
        <f ca="1"/>
        <v>45825</v>
      </c>
      <c r="B115" vm="663">
        <f ca="1"/>
        <v>283.05</v>
      </c>
      <c r="C115" vm="664">
        <f ca="1"/>
        <v>281.14999999999998</v>
      </c>
      <c r="D115" vm="665">
        <f ca="1"/>
        <v>284.78989999999999</v>
      </c>
      <c r="E115" vm="666">
        <f ca="1"/>
        <v>281.00009999999997</v>
      </c>
      <c r="F115" vm="667">
        <f ca="1"/>
        <v>3069556</v>
      </c>
      <c r="G115" s="2">
        <f t="shared" ca="1" si="7"/>
        <v>268.46799999999996</v>
      </c>
      <c r="H115" s="2">
        <f t="shared" ca="1" si="4"/>
        <v>253.75060000000002</v>
      </c>
      <c r="I115" s="3">
        <f t="shared" ca="1" si="5"/>
        <v>0.28694189324361186</v>
      </c>
      <c r="J115">
        <f t="shared" ca="1" si="6"/>
        <v>3.7898000000000138</v>
      </c>
      <c r="K115" s="2">
        <f t="shared" ca="1" si="8"/>
        <v>4.255374999999999</v>
      </c>
    </row>
    <row r="116" spans="1:11" x14ac:dyDescent="0.25">
      <c r="A116" vm="668">
        <f ca="1"/>
        <v>45826</v>
      </c>
      <c r="B116" vm="669">
        <f ca="1"/>
        <v>283.20999999999998</v>
      </c>
      <c r="C116" vm="670">
        <f ca="1"/>
        <v>285</v>
      </c>
      <c r="D116" vm="671">
        <f ca="1"/>
        <v>286.91000000000003</v>
      </c>
      <c r="E116" vm="672">
        <f ca="1"/>
        <v>282.94</v>
      </c>
      <c r="F116" vm="673">
        <f ca="1"/>
        <v>3534110</v>
      </c>
      <c r="G116" s="2">
        <f t="shared" ca="1" si="7"/>
        <v>269.28100000000001</v>
      </c>
      <c r="H116" s="2">
        <f t="shared" ref="H116:H179" ca="1" si="9">AVERAGE(B67:B116)</f>
        <v>254.89919999999998</v>
      </c>
      <c r="I116" s="3">
        <f t="shared" ca="1" si="5"/>
        <v>0.28766936437210133</v>
      </c>
      <c r="J116">
        <f t="shared" ca="1" si="6"/>
        <v>3.9700000000000273</v>
      </c>
      <c r="K116" s="2">
        <f t="shared" ca="1" si="8"/>
        <v>4.2708800000000009</v>
      </c>
    </row>
    <row r="117" spans="1:11" x14ac:dyDescent="0.25">
      <c r="A117" vm="674">
        <f ca="1"/>
        <v>45828</v>
      </c>
      <c r="B117" vm="675">
        <f ca="1"/>
        <v>280.97000000000003</v>
      </c>
      <c r="C117" vm="676">
        <f ca="1"/>
        <v>279.27999999999997</v>
      </c>
      <c r="D117" vm="677">
        <f ca="1"/>
        <v>284.12</v>
      </c>
      <c r="E117" vm="678">
        <f ca="1"/>
        <v>277.2</v>
      </c>
      <c r="F117" vm="679">
        <f ca="1"/>
        <v>7676962</v>
      </c>
      <c r="G117" s="2">
        <f t="shared" ca="1" si="7"/>
        <v>270.286</v>
      </c>
      <c r="H117" s="2">
        <f t="shared" ca="1" si="9"/>
        <v>256.09800000000001</v>
      </c>
      <c r="I117" s="3">
        <f t="shared" ca="1" si="5"/>
        <v>0.27748476857324733</v>
      </c>
      <c r="J117">
        <f t="shared" ca="1" si="6"/>
        <v>6.9200000000000159</v>
      </c>
      <c r="K117" s="2">
        <f t="shared" ca="1" si="8"/>
        <v>4.354885000000003</v>
      </c>
    </row>
    <row r="118" spans="1:11" x14ac:dyDescent="0.25">
      <c r="A118" vm="680">
        <f ca="1"/>
        <v>45831</v>
      </c>
      <c r="B118" vm="681">
        <f ca="1"/>
        <v>289.18</v>
      </c>
      <c r="C118" vm="682">
        <f ca="1"/>
        <v>281.64999999999998</v>
      </c>
      <c r="D118" vm="683">
        <f ca="1"/>
        <v>289.58</v>
      </c>
      <c r="E118" vm="684">
        <f ca="1"/>
        <v>280.20999999999998</v>
      </c>
      <c r="F118" vm="685">
        <f ca="1"/>
        <v>3786159</v>
      </c>
      <c r="G118" s="2">
        <f t="shared" ca="1" si="7"/>
        <v>271.82650000000007</v>
      </c>
      <c r="H118" s="2">
        <f t="shared" ca="1" si="9"/>
        <v>257.17539999999997</v>
      </c>
      <c r="I118" s="3">
        <f t="shared" ca="1" si="5"/>
        <v>0.31481313085386931</v>
      </c>
      <c r="J118">
        <f t="shared" ca="1" si="6"/>
        <v>9.3700000000000045</v>
      </c>
      <c r="K118" s="2">
        <f t="shared" ca="1" si="8"/>
        <v>4.6553300000000046</v>
      </c>
    </row>
    <row r="119" spans="1:11" x14ac:dyDescent="0.25">
      <c r="A119" vm="686">
        <f ca="1"/>
        <v>45832</v>
      </c>
      <c r="B119" vm="687">
        <f ca="1"/>
        <v>293.79000000000002</v>
      </c>
      <c r="C119" vm="688">
        <f ca="1"/>
        <v>290.45999999999998</v>
      </c>
      <c r="D119" vm="689">
        <f ca="1"/>
        <v>294.3399</v>
      </c>
      <c r="E119" vm="690">
        <f ca="1"/>
        <v>288.41000000000003</v>
      </c>
      <c r="F119" vm="691">
        <f ca="1"/>
        <v>4219120</v>
      </c>
      <c r="G119" s="2">
        <f t="shared" ca="1" si="7"/>
        <v>273.58450000000005</v>
      </c>
      <c r="H119" s="2">
        <f t="shared" ca="1" si="9"/>
        <v>258.46019999999999</v>
      </c>
      <c r="I119" s="3">
        <f t="shared" ca="1" si="5"/>
        <v>0.33577339274347562</v>
      </c>
      <c r="J119">
        <f t="shared" ca="1" si="6"/>
        <v>5.9298999999999751</v>
      </c>
      <c r="K119" s="2">
        <f t="shared" ca="1" si="8"/>
        <v>4.7478450000000034</v>
      </c>
    </row>
    <row r="120" spans="1:11" x14ac:dyDescent="0.25">
      <c r="A120" vm="692">
        <f ca="1"/>
        <v>45833</v>
      </c>
      <c r="B120" vm="693">
        <f ca="1"/>
        <v>291.06</v>
      </c>
      <c r="C120" vm="694">
        <f ca="1"/>
        <v>294.49</v>
      </c>
      <c r="D120" vm="695">
        <f ca="1"/>
        <v>296.16000000000003</v>
      </c>
      <c r="E120" vm="696">
        <f ca="1"/>
        <v>289.5</v>
      </c>
      <c r="F120" vm="697">
        <f ca="1"/>
        <v>3862309</v>
      </c>
      <c r="G120" s="2">
        <f t="shared" ca="1" si="7"/>
        <v>274.97600000000006</v>
      </c>
      <c r="H120" s="2">
        <f t="shared" ca="1" si="9"/>
        <v>259.5718</v>
      </c>
      <c r="I120" s="3">
        <f t="shared" ca="1" si="5"/>
        <v>0.32336091661362198</v>
      </c>
      <c r="J120">
        <f t="shared" ca="1" si="6"/>
        <v>6.660000000000025</v>
      </c>
      <c r="K120" s="2">
        <f t="shared" ca="1" si="8"/>
        <v>4.8730000000000047</v>
      </c>
    </row>
    <row r="121" spans="1:11" x14ac:dyDescent="0.25">
      <c r="A121" vm="698">
        <f ca="1"/>
        <v>45834</v>
      </c>
      <c r="B121" vm="699">
        <f ca="1"/>
        <v>291.93</v>
      </c>
      <c r="C121" vm="700">
        <f ca="1"/>
        <v>291.8</v>
      </c>
      <c r="D121" vm="701">
        <f ca="1"/>
        <v>292.91000000000003</v>
      </c>
      <c r="E121" vm="702">
        <f ca="1"/>
        <v>290.16500000000002</v>
      </c>
      <c r="F121" vm="703">
        <f ca="1"/>
        <v>3621110</v>
      </c>
      <c r="G121" s="2">
        <f t="shared" ca="1" si="7"/>
        <v>276.5605000000001</v>
      </c>
      <c r="H121" s="2">
        <f t="shared" ca="1" si="9"/>
        <v>260.62919999999997</v>
      </c>
      <c r="I121" s="3">
        <f t="shared" ca="1" si="5"/>
        <v>0.32731654087478401</v>
      </c>
      <c r="J121">
        <f t="shared" ca="1" si="6"/>
        <v>2.7450000000000045</v>
      </c>
      <c r="K121" s="2">
        <f t="shared" ca="1" si="8"/>
        <v>4.7572500000000044</v>
      </c>
    </row>
    <row r="122" spans="1:11" x14ac:dyDescent="0.25">
      <c r="A122" vm="704">
        <f ca="1"/>
        <v>45835</v>
      </c>
      <c r="B122" vm="705">
        <f ca="1"/>
        <v>289.7</v>
      </c>
      <c r="C122" vm="706">
        <f ca="1"/>
        <v>292.97000000000003</v>
      </c>
      <c r="D122" vm="707">
        <f ca="1"/>
        <v>293.12</v>
      </c>
      <c r="E122" vm="708">
        <f ca="1"/>
        <v>288.52</v>
      </c>
      <c r="F122" vm="709">
        <f ca="1"/>
        <v>3562501</v>
      </c>
      <c r="G122" s="2">
        <f t="shared" ca="1" si="7"/>
        <v>278.11100000000005</v>
      </c>
      <c r="H122" s="2">
        <f t="shared" ca="1" si="9"/>
        <v>261.60920000000004</v>
      </c>
      <c r="I122" s="3">
        <f t="shared" ca="1" si="5"/>
        <v>0.31717741202146033</v>
      </c>
      <c r="J122">
        <f t="shared" ca="1" si="6"/>
        <v>4.6000000000000227</v>
      </c>
      <c r="K122" s="2">
        <f t="shared" ca="1" si="8"/>
        <v>4.7692500000000049</v>
      </c>
    </row>
    <row r="123" spans="1:11" x14ac:dyDescent="0.25">
      <c r="A123" vm="710">
        <f ca="1"/>
        <v>45838</v>
      </c>
      <c r="B123" vm="711">
        <f ca="1"/>
        <v>294.77999999999997</v>
      </c>
      <c r="C123" vm="712">
        <f ca="1"/>
        <v>290.93</v>
      </c>
      <c r="D123" vm="713">
        <f ca="1"/>
        <v>294.81</v>
      </c>
      <c r="E123" vm="714">
        <f ca="1"/>
        <v>290</v>
      </c>
      <c r="F123" vm="715">
        <f ca="1"/>
        <v>3495386</v>
      </c>
      <c r="G123" s="2">
        <f t="shared" ca="1" si="7"/>
        <v>279.89700000000005</v>
      </c>
      <c r="H123" s="2">
        <f t="shared" ca="1" si="9"/>
        <v>262.73340000000002</v>
      </c>
      <c r="I123" s="3">
        <f t="shared" ca="1" si="5"/>
        <v>0.34027462035100475</v>
      </c>
      <c r="J123">
        <f t="shared" ca="1" si="6"/>
        <v>4.8100000000000023</v>
      </c>
      <c r="K123" s="2">
        <f t="shared" ca="1" si="8"/>
        <v>4.8587500000000059</v>
      </c>
    </row>
    <row r="124" spans="1:11" x14ac:dyDescent="0.25">
      <c r="A124" vm="716">
        <f ca="1"/>
        <v>45839</v>
      </c>
      <c r="B124" vm="717">
        <f ca="1"/>
        <v>291.2</v>
      </c>
      <c r="C124" vm="718">
        <f ca="1"/>
        <v>294.55</v>
      </c>
      <c r="D124" vm="719">
        <f ca="1"/>
        <v>295.10809999999998</v>
      </c>
      <c r="E124" vm="720">
        <f ca="1"/>
        <v>290.08</v>
      </c>
      <c r="F124" vm="721">
        <f ca="1"/>
        <v>3272797</v>
      </c>
      <c r="G124" s="2">
        <f t="shared" ca="1" si="7"/>
        <v>281.26200000000006</v>
      </c>
      <c r="H124" s="2">
        <f t="shared" ca="1" si="9"/>
        <v>263.78120000000001</v>
      </c>
      <c r="I124" s="3">
        <f t="shared" ca="1" si="5"/>
        <v>0.32399745385105017</v>
      </c>
      <c r="J124">
        <f t="shared" ca="1" si="6"/>
        <v>5.0280999999999949</v>
      </c>
      <c r="K124" s="2">
        <f t="shared" ca="1" si="8"/>
        <v>4.7723550000000072</v>
      </c>
    </row>
    <row r="125" spans="1:11" x14ac:dyDescent="0.25">
      <c r="A125" vm="722">
        <f ca="1"/>
        <v>45840</v>
      </c>
      <c r="B125" vm="723">
        <f ca="1"/>
        <v>287.64999999999998</v>
      </c>
      <c r="C125" vm="714">
        <f ca="1"/>
        <v>290</v>
      </c>
      <c r="D125" vm="724">
        <f ca="1"/>
        <v>290.19</v>
      </c>
      <c r="E125" vm="725">
        <f ca="1"/>
        <v>286.89999999999998</v>
      </c>
      <c r="F125" vm="726">
        <f ca="1"/>
        <v>3257515</v>
      </c>
      <c r="G125" s="2">
        <f t="shared" ca="1" si="7"/>
        <v>282.3845</v>
      </c>
      <c r="H125" s="2">
        <f t="shared" ca="1" si="9"/>
        <v>264.80979999999994</v>
      </c>
      <c r="I125" s="3">
        <f t="shared" ca="1" si="5"/>
        <v>0.30785668818768741</v>
      </c>
      <c r="J125">
        <f t="shared" ca="1" si="6"/>
        <v>3.2900000000000205</v>
      </c>
      <c r="K125" s="2">
        <f t="shared" ca="1" si="8"/>
        <v>4.7878550000000075</v>
      </c>
    </row>
    <row r="126" spans="1:11" x14ac:dyDescent="0.25">
      <c r="A126" vm="727">
        <f ca="1"/>
        <v>45841</v>
      </c>
      <c r="B126" vm="728">
        <f ca="1"/>
        <v>291.97000000000003</v>
      </c>
      <c r="C126" vm="729">
        <f ca="1"/>
        <v>287.94</v>
      </c>
      <c r="D126" vm="730">
        <f ca="1"/>
        <v>292.32</v>
      </c>
      <c r="E126" vm="731">
        <f ca="1"/>
        <v>287.89999999999998</v>
      </c>
      <c r="F126" vm="732">
        <f ca="1"/>
        <v>1853289</v>
      </c>
      <c r="G126" s="2">
        <f t="shared" ca="1" si="7"/>
        <v>283.70699999999999</v>
      </c>
      <c r="H126" s="2">
        <f t="shared" ca="1" si="9"/>
        <v>265.83119999999997</v>
      </c>
      <c r="I126" s="3">
        <f t="shared" ca="1" si="5"/>
        <v>0.3274984086569066</v>
      </c>
      <c r="J126">
        <f t="shared" ca="1" si="6"/>
        <v>4.4200000000000159</v>
      </c>
      <c r="K126" s="2">
        <f t="shared" ca="1" si="8"/>
        <v>4.8983550000000093</v>
      </c>
    </row>
    <row r="127" spans="1:11" x14ac:dyDescent="0.25">
      <c r="A127" vm="733">
        <f ca="1"/>
        <v>45845</v>
      </c>
      <c r="B127" vm="734">
        <f ca="1"/>
        <v>292.47000000000003</v>
      </c>
      <c r="C127" vm="735">
        <f ca="1"/>
        <v>292.5</v>
      </c>
      <c r="D127" vm="736">
        <f ca="1"/>
        <v>295.2199</v>
      </c>
      <c r="E127" vm="737">
        <f ca="1"/>
        <v>290.36070000000001</v>
      </c>
      <c r="F127" vm="738">
        <f ca="1"/>
        <v>4488064</v>
      </c>
      <c r="G127" s="2">
        <f t="shared" ca="1" si="7"/>
        <v>284.98750000000001</v>
      </c>
      <c r="H127" s="2">
        <f t="shared" ca="1" si="9"/>
        <v>266.77099999999996</v>
      </c>
      <c r="I127" s="3">
        <f t="shared" ca="1" si="5"/>
        <v>0.32977175593343655</v>
      </c>
      <c r="J127">
        <f t="shared" ca="1" si="6"/>
        <v>4.8591999999999871</v>
      </c>
      <c r="K127" s="2">
        <f t="shared" ca="1" si="8"/>
        <v>5.0208150000000105</v>
      </c>
    </row>
    <row r="128" spans="1:11" x14ac:dyDescent="0.25">
      <c r="A128" vm="739">
        <f ca="1"/>
        <v>45846</v>
      </c>
      <c r="B128" vm="740">
        <f ca="1"/>
        <v>290.42</v>
      </c>
      <c r="C128" vm="741">
        <f ca="1"/>
        <v>293.10000000000002</v>
      </c>
      <c r="D128" vm="742">
        <f ca="1"/>
        <v>295.61</v>
      </c>
      <c r="E128" vm="743">
        <f ca="1"/>
        <v>289.49</v>
      </c>
      <c r="F128" vm="744">
        <f ca="1"/>
        <v>2925329</v>
      </c>
      <c r="G128" s="2">
        <f t="shared" ca="1" si="7"/>
        <v>286.06499999999994</v>
      </c>
      <c r="H128" s="2">
        <f t="shared" ca="1" si="9"/>
        <v>267.99279999999993</v>
      </c>
      <c r="I128" s="3">
        <f t="shared" ca="1" si="5"/>
        <v>0.32045103209966364</v>
      </c>
      <c r="J128">
        <f t="shared" ca="1" si="6"/>
        <v>6.1200000000000045</v>
      </c>
      <c r="K128" s="2">
        <f t="shared" ca="1" si="8"/>
        <v>5.1948150000000082</v>
      </c>
    </row>
    <row r="129" spans="1:11" x14ac:dyDescent="0.25">
      <c r="A129" vm="745">
        <f ca="1"/>
        <v>45847</v>
      </c>
      <c r="B129" vm="746">
        <f ca="1"/>
        <v>290.14</v>
      </c>
      <c r="C129" vm="747">
        <f ca="1"/>
        <v>291.39</v>
      </c>
      <c r="D129" vm="748">
        <f ca="1"/>
        <v>291.60000000000002</v>
      </c>
      <c r="E129" vm="749">
        <f ca="1"/>
        <v>288.63</v>
      </c>
      <c r="F129" vm="750">
        <f ca="1"/>
        <v>2971309</v>
      </c>
      <c r="G129" s="2">
        <f t="shared" ca="1" si="7"/>
        <v>286.96799999999996</v>
      </c>
      <c r="H129" s="2">
        <f t="shared" ca="1" si="9"/>
        <v>269.14739999999995</v>
      </c>
      <c r="I129" s="3">
        <f t="shared" ca="1" si="5"/>
        <v>0.31917795762480661</v>
      </c>
      <c r="J129">
        <f t="shared" ca="1" si="6"/>
        <v>2.9700000000000273</v>
      </c>
      <c r="K129" s="2">
        <f t="shared" ca="1" si="8"/>
        <v>5.0053150000000075</v>
      </c>
    </row>
    <row r="130" spans="1:11" x14ac:dyDescent="0.25">
      <c r="A130" vm="751">
        <f ca="1"/>
        <v>45848</v>
      </c>
      <c r="B130" vm="752">
        <f ca="1"/>
        <v>287.43</v>
      </c>
      <c r="C130" vm="753">
        <f ca="1"/>
        <v>288.89999999999998</v>
      </c>
      <c r="D130" vm="753">
        <f ca="1"/>
        <v>288.89999999999998</v>
      </c>
      <c r="E130" vm="754">
        <f ca="1"/>
        <v>282.20999999999998</v>
      </c>
      <c r="F130" vm="755">
        <f ca="1"/>
        <v>3489068</v>
      </c>
      <c r="G130" s="2">
        <f t="shared" ca="1" si="7"/>
        <v>287.52750000000003</v>
      </c>
      <c r="H130" s="2">
        <f t="shared" ca="1" si="9"/>
        <v>270.17279999999994</v>
      </c>
      <c r="I130" s="3">
        <f t="shared" ca="1" si="5"/>
        <v>0.30685641538601449</v>
      </c>
      <c r="J130">
        <f t="shared" ca="1" si="6"/>
        <v>6.6899999999999977</v>
      </c>
      <c r="K130" s="2">
        <f t="shared" ca="1" si="8"/>
        <v>5.0943150000000061</v>
      </c>
    </row>
    <row r="131" spans="1:11" x14ac:dyDescent="0.25">
      <c r="A131" vm="756">
        <f ca="1"/>
        <v>45849</v>
      </c>
      <c r="B131" vm="757">
        <f ca="1"/>
        <v>283.58999999999997</v>
      </c>
      <c r="C131" vm="758">
        <f ca="1"/>
        <v>285.01</v>
      </c>
      <c r="D131" vm="752">
        <f ca="1"/>
        <v>287.43</v>
      </c>
      <c r="E131" vm="759">
        <f ca="1"/>
        <v>282.92</v>
      </c>
      <c r="F131" vm="760">
        <f ca="1"/>
        <v>3790679</v>
      </c>
      <c r="G131" s="2">
        <f t="shared" ca="1" si="7"/>
        <v>287.63100000000003</v>
      </c>
      <c r="H131" s="2">
        <f t="shared" ca="1" si="9"/>
        <v>271.05679999999995</v>
      </c>
      <c r="I131" s="3">
        <f t="shared" ref="I131:I194" ca="1" si="10">(B131/$B$2)-1</f>
        <v>0.28939710830226417</v>
      </c>
      <c r="J131">
        <f t="shared" ref="J131:J194" ca="1" si="11">D131-E131</f>
        <v>4.5099999999999909</v>
      </c>
      <c r="K131" s="2">
        <f t="shared" ca="1" si="8"/>
        <v>4.9878150000000065</v>
      </c>
    </row>
    <row r="132" spans="1:11" x14ac:dyDescent="0.25">
      <c r="A132" vm="761">
        <f ca="1"/>
        <v>45852</v>
      </c>
      <c r="B132" vm="762">
        <f ca="1"/>
        <v>283.79000000000002</v>
      </c>
      <c r="C132" vm="763">
        <f ca="1"/>
        <v>282.83</v>
      </c>
      <c r="D132" vm="764">
        <f ca="1"/>
        <v>284.92500000000001</v>
      </c>
      <c r="E132" vm="765">
        <f ca="1"/>
        <v>281.70999999999998</v>
      </c>
      <c r="F132" vm="766">
        <f ca="1"/>
        <v>2857401</v>
      </c>
      <c r="G132" s="2">
        <f t="shared" ca="1" si="7"/>
        <v>287.76900000000001</v>
      </c>
      <c r="H132" s="2">
        <f t="shared" ca="1" si="9"/>
        <v>271.89619999999996</v>
      </c>
      <c r="I132" s="3">
        <f t="shared" ca="1" si="10"/>
        <v>0.29030644721287624</v>
      </c>
      <c r="J132">
        <f t="shared" ca="1" si="11"/>
        <v>3.2150000000000318</v>
      </c>
      <c r="K132" s="2">
        <f t="shared" ca="1" si="8"/>
        <v>4.9870650000000065</v>
      </c>
    </row>
    <row r="133" spans="1:11" x14ac:dyDescent="0.25">
      <c r="A133" vm="767">
        <f ca="1"/>
        <v>45853</v>
      </c>
      <c r="B133" vm="768">
        <f ca="1"/>
        <v>282.7</v>
      </c>
      <c r="C133" vm="769">
        <f ca="1"/>
        <v>283.77</v>
      </c>
      <c r="D133" vm="770">
        <f ca="1"/>
        <v>284.15499999999997</v>
      </c>
      <c r="E133" vm="771">
        <f ca="1"/>
        <v>280.73009999999999</v>
      </c>
      <c r="F133" vm="772">
        <f ca="1"/>
        <v>2864106</v>
      </c>
      <c r="G133" s="2">
        <f t="shared" ca="1" si="7"/>
        <v>288.04300000000001</v>
      </c>
      <c r="H133" s="2">
        <f t="shared" ca="1" si="9"/>
        <v>272.75699999999995</v>
      </c>
      <c r="I133" s="3">
        <f t="shared" ca="1" si="10"/>
        <v>0.28535055015004085</v>
      </c>
      <c r="J133">
        <f t="shared" ca="1" si="11"/>
        <v>3.4248999999999796</v>
      </c>
      <c r="K133" s="2">
        <f t="shared" ca="1" si="8"/>
        <v>4.9578100000000065</v>
      </c>
    </row>
    <row r="134" spans="1:11" x14ac:dyDescent="0.25">
      <c r="A134" vm="773">
        <f ca="1"/>
        <v>45854</v>
      </c>
      <c r="B134" vm="774">
        <f ca="1"/>
        <v>281.92</v>
      </c>
      <c r="C134" vm="775">
        <f ca="1"/>
        <v>282.75</v>
      </c>
      <c r="D134" vm="776">
        <f ca="1"/>
        <v>283.87</v>
      </c>
      <c r="E134" vm="777">
        <f ca="1"/>
        <v>279.87</v>
      </c>
      <c r="F134" vm="778">
        <f ca="1"/>
        <v>2804831</v>
      </c>
      <c r="G134" s="2">
        <f t="shared" ca="1" si="7"/>
        <v>288.04750000000001</v>
      </c>
      <c r="H134" s="2">
        <f t="shared" ca="1" si="9"/>
        <v>273.48439999999999</v>
      </c>
      <c r="I134" s="3">
        <f t="shared" ca="1" si="10"/>
        <v>0.28180412839865432</v>
      </c>
      <c r="J134">
        <f t="shared" ca="1" si="11"/>
        <v>4</v>
      </c>
      <c r="K134" s="2">
        <f t="shared" ca="1" si="8"/>
        <v>4.8660950000000067</v>
      </c>
    </row>
    <row r="135" spans="1:11" x14ac:dyDescent="0.25">
      <c r="A135" vm="779">
        <f ca="1"/>
        <v>45855</v>
      </c>
      <c r="B135" vm="780">
        <f ca="1"/>
        <v>282</v>
      </c>
      <c r="C135" vm="781">
        <f ca="1"/>
        <v>281.5</v>
      </c>
      <c r="D135" vm="782">
        <f ca="1"/>
        <v>283.45659999999998</v>
      </c>
      <c r="E135" vm="783">
        <f ca="1"/>
        <v>280.89999999999998</v>
      </c>
      <c r="F135" vm="784">
        <f ca="1"/>
        <v>3337168</v>
      </c>
      <c r="G135" s="2">
        <f t="shared" ca="1" si="7"/>
        <v>287.995</v>
      </c>
      <c r="H135" s="2">
        <f t="shared" ca="1" si="9"/>
        <v>274.14080000000001</v>
      </c>
      <c r="I135" s="3">
        <f t="shared" ca="1" si="10"/>
        <v>0.28216786396289906</v>
      </c>
      <c r="J135">
        <f t="shared" ca="1" si="11"/>
        <v>2.5566000000000031</v>
      </c>
      <c r="K135" s="2">
        <f t="shared" ca="1" si="8"/>
        <v>4.8044350000000069</v>
      </c>
    </row>
    <row r="136" spans="1:11" x14ac:dyDescent="0.25">
      <c r="A136" vm="785">
        <f ca="1"/>
        <v>45856</v>
      </c>
      <c r="B136" vm="786">
        <f ca="1"/>
        <v>285.87</v>
      </c>
      <c r="C136" vm="787">
        <f ca="1"/>
        <v>283.38</v>
      </c>
      <c r="D136" vm="788">
        <f ca="1"/>
        <v>287.16000000000003</v>
      </c>
      <c r="E136" vm="789">
        <f ca="1"/>
        <v>282.22000000000003</v>
      </c>
      <c r="F136" vm="790">
        <f ca="1"/>
        <v>4478165</v>
      </c>
      <c r="G136" s="2">
        <f t="shared" ca="1" si="7"/>
        <v>288.12800000000004</v>
      </c>
      <c r="H136" s="2">
        <f t="shared" ca="1" si="9"/>
        <v>274.87580000000003</v>
      </c>
      <c r="I136" s="3">
        <f t="shared" ca="1" si="10"/>
        <v>0.29976357188324099</v>
      </c>
      <c r="J136">
        <f t="shared" ca="1" si="11"/>
        <v>4.9399999999999977</v>
      </c>
      <c r="K136" s="2">
        <f t="shared" ca="1" si="8"/>
        <v>4.8529350000000049</v>
      </c>
    </row>
    <row r="137" spans="1:11" x14ac:dyDescent="0.25">
      <c r="A137" vm="791">
        <f ca="1"/>
        <v>45859</v>
      </c>
      <c r="B137" vm="792">
        <f ca="1"/>
        <v>284.70999999999998</v>
      </c>
      <c r="C137" vm="793">
        <f ca="1"/>
        <v>286.29000000000002</v>
      </c>
      <c r="D137" vm="794">
        <f ca="1"/>
        <v>287.73</v>
      </c>
      <c r="E137" vm="795">
        <f ca="1"/>
        <v>284.38</v>
      </c>
      <c r="F137" vm="796">
        <f ca="1"/>
        <v>3051791</v>
      </c>
      <c r="G137" s="2">
        <f t="shared" ca="1" si="7"/>
        <v>288.315</v>
      </c>
      <c r="H137" s="2">
        <f t="shared" ca="1" si="9"/>
        <v>275.50260000000003</v>
      </c>
      <c r="I137" s="3">
        <f t="shared" ca="1" si="10"/>
        <v>0.29448940620169139</v>
      </c>
      <c r="J137">
        <f t="shared" ca="1" si="11"/>
        <v>3.3500000000000227</v>
      </c>
      <c r="K137" s="2">
        <f t="shared" ca="1" si="8"/>
        <v>4.6744350000000052</v>
      </c>
    </row>
    <row r="138" spans="1:11" x14ac:dyDescent="0.25">
      <c r="A138" vm="797">
        <f ca="1"/>
        <v>45860</v>
      </c>
      <c r="B138" vm="798">
        <f ca="1"/>
        <v>281.95999999999998</v>
      </c>
      <c r="C138" vm="799">
        <f ca="1"/>
        <v>284.74</v>
      </c>
      <c r="D138" vm="800">
        <f ca="1"/>
        <v>284.88</v>
      </c>
      <c r="E138" vm="801">
        <f ca="1"/>
        <v>281.25</v>
      </c>
      <c r="F138" vm="802">
        <f ca="1"/>
        <v>4824219</v>
      </c>
      <c r="G138" s="2">
        <f t="shared" ca="1" si="7"/>
        <v>287.95400000000001</v>
      </c>
      <c r="H138" s="2">
        <f t="shared" ca="1" si="9"/>
        <v>276.05900000000003</v>
      </c>
      <c r="I138" s="3">
        <f t="shared" ca="1" si="10"/>
        <v>0.28198599618077647</v>
      </c>
      <c r="J138">
        <f t="shared" ca="1" si="11"/>
        <v>3.6299999999999955</v>
      </c>
      <c r="K138" s="2">
        <f t="shared" ca="1" si="8"/>
        <v>4.3874350000000053</v>
      </c>
    </row>
    <row r="139" spans="1:11" x14ac:dyDescent="0.25">
      <c r="A139" vm="803">
        <f ca="1"/>
        <v>45861</v>
      </c>
      <c r="B139" vm="804">
        <f ca="1"/>
        <v>282.01</v>
      </c>
      <c r="C139" vm="805">
        <f ca="1"/>
        <v>284.3</v>
      </c>
      <c r="D139" vm="806">
        <f ca="1"/>
        <v>288.08</v>
      </c>
      <c r="E139" vm="807">
        <f ca="1"/>
        <v>281.44</v>
      </c>
      <c r="F139" vm="808">
        <f ca="1"/>
        <v>8105906</v>
      </c>
      <c r="G139" s="2">
        <f t="shared" ca="1" si="7"/>
        <v>287.36500000000001</v>
      </c>
      <c r="H139" s="2">
        <f t="shared" ca="1" si="9"/>
        <v>276.71520000000004</v>
      </c>
      <c r="I139" s="3">
        <f t="shared" ca="1" si="10"/>
        <v>0.28221333090842959</v>
      </c>
      <c r="J139">
        <f t="shared" ca="1" si="11"/>
        <v>6.6399999999999864</v>
      </c>
      <c r="K139" s="2">
        <f t="shared" ca="1" si="8"/>
        <v>4.4229400000000059</v>
      </c>
    </row>
    <row r="140" spans="1:11" x14ac:dyDescent="0.25">
      <c r="A140" vm="809">
        <f ca="1"/>
        <v>45862</v>
      </c>
      <c r="B140" vm="810">
        <f ca="1"/>
        <v>260.51</v>
      </c>
      <c r="C140" vm="811">
        <f ca="1"/>
        <v>261.25</v>
      </c>
      <c r="D140" vm="812">
        <f ca="1"/>
        <v>262.04860000000002</v>
      </c>
      <c r="E140" vm="813">
        <f ca="1"/>
        <v>252.75</v>
      </c>
      <c r="F140" vm="814">
        <f ca="1"/>
        <v>22647720</v>
      </c>
      <c r="G140" s="2">
        <f t="shared" ca="1" si="7"/>
        <v>285.83749999999998</v>
      </c>
      <c r="H140" s="2">
        <f t="shared" ca="1" si="9"/>
        <v>276.85160000000002</v>
      </c>
      <c r="I140" s="3">
        <f t="shared" ca="1" si="10"/>
        <v>0.18445939801764122</v>
      </c>
      <c r="J140">
        <f t="shared" ca="1" si="11"/>
        <v>9.2986000000000217</v>
      </c>
      <c r="K140" s="2">
        <f t="shared" ca="1" si="8"/>
        <v>4.5548700000000055</v>
      </c>
    </row>
    <row r="141" spans="1:11" x14ac:dyDescent="0.25">
      <c r="A141" vm="815">
        <f ca="1"/>
        <v>45863</v>
      </c>
      <c r="B141" vm="816">
        <f ca="1"/>
        <v>259.72000000000003</v>
      </c>
      <c r="C141" vm="817">
        <f ca="1"/>
        <v>260.02</v>
      </c>
      <c r="D141" vm="818">
        <f ca="1"/>
        <v>260.8</v>
      </c>
      <c r="E141" vm="819">
        <f ca="1"/>
        <v>256.35000000000002</v>
      </c>
      <c r="F141" vm="820">
        <f ca="1"/>
        <v>7758653</v>
      </c>
      <c r="G141" s="2">
        <f t="shared" ca="1" si="7"/>
        <v>284.22700000000003</v>
      </c>
      <c r="H141" s="2">
        <f t="shared" ca="1" si="9"/>
        <v>276.87420000000003</v>
      </c>
      <c r="I141" s="3">
        <f t="shared" ca="1" si="10"/>
        <v>0.18086750932072393</v>
      </c>
      <c r="J141">
        <f t="shared" ca="1" si="11"/>
        <v>4.4499999999999886</v>
      </c>
      <c r="K141" s="2">
        <f t="shared" ca="1" si="8"/>
        <v>4.6401200000000049</v>
      </c>
    </row>
    <row r="142" spans="1:11" x14ac:dyDescent="0.25">
      <c r="A142" vm="821">
        <f ca="1"/>
        <v>45866</v>
      </c>
      <c r="B142" vm="822">
        <f ca="1"/>
        <v>263.20999999999998</v>
      </c>
      <c r="C142" vm="823">
        <f ca="1"/>
        <v>260.3</v>
      </c>
      <c r="D142" vm="824">
        <f ca="1"/>
        <v>264</v>
      </c>
      <c r="E142" vm="825">
        <f ca="1"/>
        <v>259.61</v>
      </c>
      <c r="F142" vm="826">
        <f ca="1"/>
        <v>5192516</v>
      </c>
      <c r="G142" s="2">
        <f t="shared" ca="1" si="7"/>
        <v>282.90250000000003</v>
      </c>
      <c r="H142" s="2">
        <f t="shared" ca="1" si="9"/>
        <v>276.98200000000003</v>
      </c>
      <c r="I142" s="3">
        <f t="shared" ca="1" si="10"/>
        <v>0.1967354733109028</v>
      </c>
      <c r="J142">
        <f t="shared" ca="1" si="11"/>
        <v>4.3899999999999864</v>
      </c>
      <c r="K142" s="2">
        <f t="shared" ca="1" si="8"/>
        <v>4.6296200000000027</v>
      </c>
    </row>
    <row r="143" spans="1:11" x14ac:dyDescent="0.25">
      <c r="A143" vm="827">
        <f ca="1"/>
        <v>45867</v>
      </c>
      <c r="B143" vm="828">
        <f ca="1"/>
        <v>262.41000000000003</v>
      </c>
      <c r="C143" vm="829">
        <f ca="1"/>
        <v>264.3</v>
      </c>
      <c r="D143" vm="830">
        <f ca="1"/>
        <v>265.79989999999998</v>
      </c>
      <c r="E143" vm="831">
        <f ca="1"/>
        <v>261.02</v>
      </c>
      <c r="F143" vm="832">
        <f ca="1"/>
        <v>4627265</v>
      </c>
      <c r="G143" s="2">
        <f t="shared" ca="1" si="7"/>
        <v>281.28399999999999</v>
      </c>
      <c r="H143" s="2">
        <f t="shared" ca="1" si="9"/>
        <v>276.89659999999998</v>
      </c>
      <c r="I143" s="3">
        <f t="shared" ca="1" si="10"/>
        <v>0.19309811766845519</v>
      </c>
      <c r="J143">
        <f t="shared" ca="1" si="11"/>
        <v>4.7798999999999978</v>
      </c>
      <c r="K143" s="2">
        <f t="shared" ca="1" si="8"/>
        <v>4.6281150000000029</v>
      </c>
    </row>
    <row r="144" spans="1:11" x14ac:dyDescent="0.25">
      <c r="A144" vm="833">
        <f ca="1"/>
        <v>45868</v>
      </c>
      <c r="B144" vm="834">
        <f ca="1"/>
        <v>260.26</v>
      </c>
      <c r="C144" vm="835">
        <f ca="1"/>
        <v>261.60000000000002</v>
      </c>
      <c r="D144" vm="185">
        <f ca="1"/>
        <v>262</v>
      </c>
      <c r="E144" vm="836">
        <f ca="1"/>
        <v>258.89999999999998</v>
      </c>
      <c r="F144" vm="837">
        <f ca="1"/>
        <v>3718290</v>
      </c>
      <c r="G144" s="2">
        <f t="shared" ca="1" si="7"/>
        <v>279.73700000000002</v>
      </c>
      <c r="H144" s="2">
        <f t="shared" ca="1" si="9"/>
        <v>276.76659999999998</v>
      </c>
      <c r="I144" s="3">
        <f t="shared" ca="1" si="10"/>
        <v>0.18332272437937625</v>
      </c>
      <c r="J144">
        <f t="shared" ca="1" si="11"/>
        <v>3.1000000000000227</v>
      </c>
      <c r="K144" s="2">
        <f t="shared" ca="1" si="8"/>
        <v>4.5317100000000039</v>
      </c>
    </row>
    <row r="145" spans="1:11" x14ac:dyDescent="0.25">
      <c r="A145" vm="838">
        <f ca="1"/>
        <v>45869</v>
      </c>
      <c r="B145" vm="839">
        <f ca="1"/>
        <v>253.15</v>
      </c>
      <c r="C145" vm="840">
        <f ca="1"/>
        <v>259.57</v>
      </c>
      <c r="D145" vm="841">
        <f ca="1"/>
        <v>259.99</v>
      </c>
      <c r="E145" vm="842">
        <f ca="1"/>
        <v>252.22</v>
      </c>
      <c r="F145" vm="843">
        <f ca="1"/>
        <v>6739092</v>
      </c>
      <c r="G145" s="2">
        <f t="shared" ca="1" si="7"/>
        <v>278.012</v>
      </c>
      <c r="H145" s="2">
        <f t="shared" ca="1" si="9"/>
        <v>276.46139999999997</v>
      </c>
      <c r="I145" s="3">
        <f t="shared" ca="1" si="10"/>
        <v>0.1509957261071202</v>
      </c>
      <c r="J145">
        <f t="shared" ca="1" si="11"/>
        <v>7.7700000000000102</v>
      </c>
      <c r="K145" s="2">
        <f t="shared" ca="1" si="8"/>
        <v>4.7557100000000032</v>
      </c>
    </row>
    <row r="146" spans="1:11" x14ac:dyDescent="0.25">
      <c r="A146" vm="844">
        <f ca="1"/>
        <v>45870</v>
      </c>
      <c r="B146" vm="845">
        <f ca="1"/>
        <v>250.05</v>
      </c>
      <c r="C146" vm="846">
        <f ca="1"/>
        <v>251.405</v>
      </c>
      <c r="D146" vm="847">
        <f ca="1"/>
        <v>251.47909999999999</v>
      </c>
      <c r="E146" vm="848">
        <f ca="1"/>
        <v>245.61</v>
      </c>
      <c r="F146" vm="849">
        <f ca="1"/>
        <v>9683404</v>
      </c>
      <c r="G146" s="2">
        <f t="shared" ca="1" si="7"/>
        <v>275.91600000000005</v>
      </c>
      <c r="H146" s="2">
        <f t="shared" ca="1" si="9"/>
        <v>276.12339999999995</v>
      </c>
      <c r="I146" s="3">
        <f t="shared" ca="1" si="10"/>
        <v>0.13690097299263448</v>
      </c>
      <c r="J146">
        <f t="shared" ca="1" si="11"/>
        <v>5.8690999999999747</v>
      </c>
      <c r="K146" s="2">
        <f t="shared" ca="1" si="8"/>
        <v>4.8281650000000012</v>
      </c>
    </row>
    <row r="147" spans="1:11" x14ac:dyDescent="0.25">
      <c r="A147" vm="850">
        <f ca="1"/>
        <v>45873</v>
      </c>
      <c r="B147" vm="851">
        <f ca="1"/>
        <v>251.98</v>
      </c>
      <c r="C147" vm="852">
        <f ca="1"/>
        <v>251.05</v>
      </c>
      <c r="D147" vm="853">
        <f ca="1"/>
        <v>252.08</v>
      </c>
      <c r="E147" vm="854">
        <f ca="1"/>
        <v>248.11</v>
      </c>
      <c r="F147" vm="855">
        <f ca="1"/>
        <v>5280588</v>
      </c>
      <c r="G147" s="2">
        <f t="shared" ca="1" si="7"/>
        <v>273.89150000000001</v>
      </c>
      <c r="H147" s="2">
        <f t="shared" ca="1" si="9"/>
        <v>275.94559999999996</v>
      </c>
      <c r="I147" s="3">
        <f t="shared" ca="1" si="10"/>
        <v>0.14567609348004007</v>
      </c>
      <c r="J147">
        <f t="shared" ca="1" si="11"/>
        <v>3.9699999999999989</v>
      </c>
      <c r="K147" s="2">
        <f t="shared" ca="1" si="8"/>
        <v>4.7837050000000021</v>
      </c>
    </row>
    <row r="148" spans="1:11" x14ac:dyDescent="0.25">
      <c r="A148" vm="856">
        <f ca="1"/>
        <v>45874</v>
      </c>
      <c r="B148" vm="857">
        <f ca="1"/>
        <v>250.67</v>
      </c>
      <c r="C148" vm="858">
        <f ca="1"/>
        <v>252</v>
      </c>
      <c r="D148" vm="859">
        <f ca="1"/>
        <v>252.8</v>
      </c>
      <c r="E148" vm="860">
        <f ca="1"/>
        <v>248.995</v>
      </c>
      <c r="F148" vm="861">
        <f ca="1"/>
        <v>5823016</v>
      </c>
      <c r="G148" s="2">
        <f t="shared" ca="1" si="7"/>
        <v>271.904</v>
      </c>
      <c r="H148" s="2">
        <f t="shared" ca="1" si="9"/>
        <v>275.79160000000002</v>
      </c>
      <c r="I148" s="3">
        <f t="shared" ca="1" si="10"/>
        <v>0.13971992361553154</v>
      </c>
      <c r="J148">
        <f t="shared" ca="1" si="11"/>
        <v>3.8050000000000068</v>
      </c>
      <c r="K148" s="2">
        <f t="shared" ca="1" si="8"/>
        <v>4.6679550000000019</v>
      </c>
    </row>
    <row r="149" spans="1:11" x14ac:dyDescent="0.25">
      <c r="A149" vm="862">
        <f ca="1"/>
        <v>45875</v>
      </c>
      <c r="B149" vm="863">
        <f ca="1"/>
        <v>252.28</v>
      </c>
      <c r="C149" vm="864">
        <f ca="1"/>
        <v>251.53</v>
      </c>
      <c r="D149" vm="333">
        <f ca="1"/>
        <v>254.32</v>
      </c>
      <c r="E149" vm="865">
        <f ca="1"/>
        <v>249.28</v>
      </c>
      <c r="F149" vm="866">
        <f ca="1"/>
        <v>3692105</v>
      </c>
      <c r="G149" s="2">
        <f t="shared" ca="1" si="7"/>
        <v>270.01100000000002</v>
      </c>
      <c r="H149" s="2">
        <f t="shared" ca="1" si="9"/>
        <v>275.66460000000001</v>
      </c>
      <c r="I149" s="3">
        <f t="shared" ca="1" si="10"/>
        <v>0.14704010184595795</v>
      </c>
      <c r="J149">
        <f t="shared" ca="1" si="11"/>
        <v>5.039999999999992</v>
      </c>
      <c r="K149" s="2">
        <f t="shared" ca="1" si="8"/>
        <v>4.7714550000000004</v>
      </c>
    </row>
    <row r="150" spans="1:11" x14ac:dyDescent="0.25">
      <c r="A150" vm="867">
        <f ca="1"/>
        <v>45876</v>
      </c>
      <c r="B150" vm="868">
        <f ca="1"/>
        <v>250.16</v>
      </c>
      <c r="C150" vm="869">
        <f ca="1"/>
        <v>252.81</v>
      </c>
      <c r="D150" vm="507">
        <f ca="1"/>
        <v>255</v>
      </c>
      <c r="E150" vm="870">
        <f ca="1"/>
        <v>248.875</v>
      </c>
      <c r="F150" vm="871">
        <f ca="1"/>
        <v>6251285</v>
      </c>
      <c r="G150" s="2">
        <f t="shared" ref="G150:G213" ca="1" si="12">AVERAGE(B131:B150)</f>
        <v>268.14749999999998</v>
      </c>
      <c r="H150" s="2">
        <f t="shared" ca="1" si="9"/>
        <v>275.40319999999997</v>
      </c>
      <c r="I150" s="3">
        <f t="shared" ca="1" si="10"/>
        <v>0.13740110939347083</v>
      </c>
      <c r="J150">
        <f t="shared" ca="1" si="11"/>
        <v>6.125</v>
      </c>
      <c r="K150" s="2">
        <f t="shared" ref="K150:K213" ca="1" si="13">AVERAGE(J131:J150)</f>
        <v>4.7432050000000006</v>
      </c>
    </row>
    <row r="151" spans="1:11" x14ac:dyDescent="0.25">
      <c r="A151" vm="872">
        <f ca="1"/>
        <v>45877</v>
      </c>
      <c r="B151" vm="873">
        <f ca="1"/>
        <v>242.27</v>
      </c>
      <c r="C151" vm="874">
        <f ca="1"/>
        <v>248.88</v>
      </c>
      <c r="D151" vm="875">
        <f ca="1"/>
        <v>249.48</v>
      </c>
      <c r="E151" vm="876">
        <f ca="1"/>
        <v>241.65</v>
      </c>
      <c r="F151" vm="877">
        <f ca="1"/>
        <v>6828390</v>
      </c>
      <c r="G151" s="2">
        <f t="shared" ca="1" si="12"/>
        <v>266.08150000000006</v>
      </c>
      <c r="H151" s="2">
        <f t="shared" ca="1" si="9"/>
        <v>275.04380000000003</v>
      </c>
      <c r="I151" s="3">
        <f t="shared" ca="1" si="10"/>
        <v>0.10152768936982826</v>
      </c>
      <c r="J151">
        <f t="shared" ca="1" si="11"/>
        <v>7.8299999999999841</v>
      </c>
      <c r="K151" s="2">
        <f t="shared" ca="1" si="13"/>
        <v>4.909205</v>
      </c>
    </row>
    <row r="152" spans="1:11" x14ac:dyDescent="0.25">
      <c r="A152" vm="878">
        <f ca="1"/>
        <v>45880</v>
      </c>
      <c r="B152" vm="391">
        <f ca="1"/>
        <v>236.3</v>
      </c>
      <c r="C152" vm="879">
        <f ca="1"/>
        <v>242.24</v>
      </c>
      <c r="D152" vm="880">
        <f ca="1"/>
        <v>243.15</v>
      </c>
      <c r="E152" vm="881">
        <f ca="1"/>
        <v>234.7</v>
      </c>
      <c r="F152" vm="882">
        <f ca="1"/>
        <v>9381960</v>
      </c>
      <c r="G152" s="2">
        <f t="shared" ca="1" si="12"/>
        <v>263.70700000000005</v>
      </c>
      <c r="H152" s="2">
        <f t="shared" ca="1" si="9"/>
        <v>274.596</v>
      </c>
      <c r="I152" s="3">
        <f t="shared" ca="1" si="10"/>
        <v>7.4383922888060505E-2</v>
      </c>
      <c r="J152">
        <f t="shared" ca="1" si="11"/>
        <v>8.4500000000000171</v>
      </c>
      <c r="K152" s="2">
        <f t="shared" ca="1" si="13"/>
        <v>5.1709549999999993</v>
      </c>
    </row>
    <row r="153" spans="1:11" x14ac:dyDescent="0.25">
      <c r="A153" vm="883">
        <f ca="1"/>
        <v>45881</v>
      </c>
      <c r="B153" vm="884">
        <f ca="1"/>
        <v>234.77</v>
      </c>
      <c r="C153" vm="885">
        <f ca="1"/>
        <v>236.53</v>
      </c>
      <c r="D153" vm="886">
        <f ca="1"/>
        <v>237.96</v>
      </c>
      <c r="E153" vm="456">
        <f ca="1"/>
        <v>233.36</v>
      </c>
      <c r="F153" vm="887">
        <f ca="1"/>
        <v>8800597</v>
      </c>
      <c r="G153" s="2">
        <f t="shared" ca="1" si="12"/>
        <v>261.31050000000005</v>
      </c>
      <c r="H153" s="2">
        <f t="shared" ca="1" si="9"/>
        <v>274.11020000000002</v>
      </c>
      <c r="I153" s="3">
        <f t="shared" ca="1" si="10"/>
        <v>6.7427480221878833E-2</v>
      </c>
      <c r="J153">
        <f t="shared" ca="1" si="11"/>
        <v>4.5999999999999943</v>
      </c>
      <c r="K153" s="2">
        <f t="shared" ca="1" si="13"/>
        <v>5.2297099999999999</v>
      </c>
    </row>
    <row r="154" spans="1:11" x14ac:dyDescent="0.25">
      <c r="A154" vm="888">
        <f ca="1"/>
        <v>45882</v>
      </c>
      <c r="B154" vm="889">
        <f ca="1"/>
        <v>240.07</v>
      </c>
      <c r="C154" vm="890">
        <f ca="1"/>
        <v>236.2</v>
      </c>
      <c r="D154" vm="891">
        <f ca="1"/>
        <v>240.84110000000001</v>
      </c>
      <c r="E154" vm="890">
        <f ca="1"/>
        <v>236.2</v>
      </c>
      <c r="F154" vm="892">
        <f ca="1"/>
        <v>5663562</v>
      </c>
      <c r="G154" s="2">
        <f t="shared" ca="1" si="12"/>
        <v>259.21800000000007</v>
      </c>
      <c r="H154" s="2">
        <f t="shared" ca="1" si="9"/>
        <v>273.63359999999994</v>
      </c>
      <c r="I154" s="3">
        <f t="shared" ca="1" si="10"/>
        <v>9.1524961353096179E-2</v>
      </c>
      <c r="J154">
        <f t="shared" ca="1" si="11"/>
        <v>4.6411000000000229</v>
      </c>
      <c r="K154" s="2">
        <f t="shared" ca="1" si="13"/>
        <v>5.2617650000000014</v>
      </c>
    </row>
    <row r="155" spans="1:11" x14ac:dyDescent="0.25">
      <c r="A155" vm="893">
        <f ca="1"/>
        <v>45883</v>
      </c>
      <c r="B155" vm="894">
        <f ca="1"/>
        <v>237.11</v>
      </c>
      <c r="C155" vm="895">
        <f ca="1"/>
        <v>238.25</v>
      </c>
      <c r="D155" vm="896">
        <f ca="1"/>
        <v>239</v>
      </c>
      <c r="E155" vm="897">
        <f ca="1"/>
        <v>235.62</v>
      </c>
      <c r="F155" vm="898">
        <f ca="1"/>
        <v>4556725</v>
      </c>
      <c r="G155" s="2">
        <f t="shared" ca="1" si="12"/>
        <v>256.9735</v>
      </c>
      <c r="H155" s="2">
        <f t="shared" ca="1" si="9"/>
        <v>273.07179999999994</v>
      </c>
      <c r="I155" s="3">
        <f t="shared" ca="1" si="10"/>
        <v>7.806674547603909E-2</v>
      </c>
      <c r="J155">
        <f t="shared" ca="1" si="11"/>
        <v>3.3799999999999955</v>
      </c>
      <c r="K155" s="2">
        <f t="shared" ca="1" si="13"/>
        <v>5.3029350000000006</v>
      </c>
    </row>
    <row r="156" spans="1:11" x14ac:dyDescent="0.25">
      <c r="A156" vm="899">
        <f ca="1"/>
        <v>45884</v>
      </c>
      <c r="B156" vm="900">
        <f ca="1"/>
        <v>239.72</v>
      </c>
      <c r="C156" vm="901">
        <f ca="1"/>
        <v>237.61</v>
      </c>
      <c r="D156" vm="902">
        <f ca="1"/>
        <v>240.62</v>
      </c>
      <c r="E156" vm="903">
        <f ca="1"/>
        <v>236.77</v>
      </c>
      <c r="F156" vm="904">
        <f ca="1"/>
        <v>4344322</v>
      </c>
      <c r="G156" s="2">
        <f t="shared" ca="1" si="12"/>
        <v>254.66600000000003</v>
      </c>
      <c r="H156" s="2">
        <f t="shared" ca="1" si="9"/>
        <v>272.55579999999992</v>
      </c>
      <c r="I156" s="3">
        <f t="shared" ca="1" si="10"/>
        <v>8.9933618259525394E-2</v>
      </c>
      <c r="J156">
        <f t="shared" ca="1" si="11"/>
        <v>3.8499999999999943</v>
      </c>
      <c r="K156" s="2">
        <f t="shared" ca="1" si="13"/>
        <v>5.2484350000000006</v>
      </c>
    </row>
    <row r="157" spans="1:11" x14ac:dyDescent="0.25">
      <c r="A157" vm="905">
        <f ca="1"/>
        <v>45887</v>
      </c>
      <c r="B157" vm="906">
        <f ca="1"/>
        <v>239.45</v>
      </c>
      <c r="C157" vm="907">
        <f ca="1"/>
        <v>239.57</v>
      </c>
      <c r="D157" vm="908">
        <f ca="1"/>
        <v>241.42</v>
      </c>
      <c r="E157" vm="909">
        <f ca="1"/>
        <v>239.11580000000001</v>
      </c>
      <c r="F157" vm="910">
        <f ca="1"/>
        <v>3569594</v>
      </c>
      <c r="G157" s="2">
        <f t="shared" ca="1" si="12"/>
        <v>252.40300000000002</v>
      </c>
      <c r="H157" s="2">
        <f t="shared" ca="1" si="9"/>
        <v>272.00759999999997</v>
      </c>
      <c r="I157" s="3">
        <f t="shared" ca="1" si="10"/>
        <v>8.8706010730199125E-2</v>
      </c>
      <c r="J157">
        <f t="shared" ca="1" si="11"/>
        <v>2.3041999999999803</v>
      </c>
      <c r="K157" s="2">
        <f t="shared" ca="1" si="13"/>
        <v>5.1961449999999987</v>
      </c>
    </row>
    <row r="158" spans="1:11" x14ac:dyDescent="0.25">
      <c r="A158" vm="911">
        <f ca="1"/>
        <v>45888</v>
      </c>
      <c r="B158" vm="912">
        <f ca="1"/>
        <v>241.28</v>
      </c>
      <c r="C158" vm="913">
        <f ca="1"/>
        <v>240</v>
      </c>
      <c r="D158" vm="914">
        <f ca="1"/>
        <v>242.83</v>
      </c>
      <c r="E158" vm="915">
        <f ca="1"/>
        <v>239.49</v>
      </c>
      <c r="F158" vm="916">
        <f ca="1"/>
        <v>3328305</v>
      </c>
      <c r="G158" s="2">
        <f t="shared" ca="1" si="12"/>
        <v>250.369</v>
      </c>
      <c r="H158" s="2">
        <f t="shared" ca="1" si="9"/>
        <v>271.45579999999995</v>
      </c>
      <c r="I158" s="3">
        <f t="shared" ca="1" si="10"/>
        <v>9.7026461762298899E-2</v>
      </c>
      <c r="J158">
        <f t="shared" ca="1" si="11"/>
        <v>3.3400000000000034</v>
      </c>
      <c r="K158" s="2">
        <f t="shared" ca="1" si="13"/>
        <v>5.1816449999999987</v>
      </c>
    </row>
    <row r="159" spans="1:11" x14ac:dyDescent="0.25">
      <c r="A159" vm="917">
        <f ca="1"/>
        <v>45889</v>
      </c>
      <c r="B159" vm="918">
        <f ca="1"/>
        <v>242.55</v>
      </c>
      <c r="C159" vm="919">
        <f ca="1"/>
        <v>242.11</v>
      </c>
      <c r="D159" vm="920">
        <f ca="1"/>
        <v>242.88</v>
      </c>
      <c r="E159" vm="921">
        <f ca="1"/>
        <v>240.34</v>
      </c>
      <c r="F159" vm="922">
        <f ca="1"/>
        <v>3240064</v>
      </c>
      <c r="G159" s="2">
        <f t="shared" ca="1" si="12"/>
        <v>248.39600000000002</v>
      </c>
      <c r="H159" s="2">
        <f t="shared" ca="1" si="9"/>
        <v>270.86519999999996</v>
      </c>
      <c r="I159" s="3">
        <f t="shared" ca="1" si="10"/>
        <v>0.10280076384468506</v>
      </c>
      <c r="J159">
        <f t="shared" ca="1" si="11"/>
        <v>2.539999999999992</v>
      </c>
      <c r="K159" s="2">
        <f t="shared" ca="1" si="13"/>
        <v>4.9766449999999995</v>
      </c>
    </row>
    <row r="160" spans="1:11" x14ac:dyDescent="0.25">
      <c r="A160" vm="923">
        <f ca="1"/>
        <v>45890</v>
      </c>
      <c r="B160" vm="924">
        <f ca="1"/>
        <v>239.4</v>
      </c>
      <c r="C160" vm="925">
        <f ca="1"/>
        <v>242.21</v>
      </c>
      <c r="D160" vm="926">
        <f ca="1"/>
        <v>242.5</v>
      </c>
      <c r="E160" vm="927">
        <f ca="1"/>
        <v>238.65</v>
      </c>
      <c r="F160" vm="928">
        <f ca="1"/>
        <v>2991902</v>
      </c>
      <c r="G160" s="2">
        <f t="shared" ca="1" si="12"/>
        <v>247.34050000000002</v>
      </c>
      <c r="H160" s="2">
        <f t="shared" ca="1" si="9"/>
        <v>270.12839999999994</v>
      </c>
      <c r="I160" s="3">
        <f t="shared" ca="1" si="10"/>
        <v>8.8478676002546219E-2</v>
      </c>
      <c r="J160">
        <f t="shared" ca="1" si="11"/>
        <v>3.8499999999999943</v>
      </c>
      <c r="K160" s="2">
        <f t="shared" ca="1" si="13"/>
        <v>4.7042149999999978</v>
      </c>
    </row>
    <row r="161" spans="1:11" x14ac:dyDescent="0.25">
      <c r="A161" vm="929">
        <f ca="1"/>
        <v>45891</v>
      </c>
      <c r="B161" vm="930">
        <f ca="1"/>
        <v>242.09</v>
      </c>
      <c r="C161" vm="931">
        <f ca="1"/>
        <v>240.74</v>
      </c>
      <c r="D161" vm="932">
        <f ca="1"/>
        <v>243.68</v>
      </c>
      <c r="E161" vm="933">
        <f ca="1"/>
        <v>240.22</v>
      </c>
      <c r="F161" vm="934">
        <f ca="1"/>
        <v>3134882</v>
      </c>
      <c r="G161" s="2">
        <f t="shared" ca="1" si="12"/>
        <v>246.459</v>
      </c>
      <c r="H161" s="2">
        <f t="shared" ca="1" si="9"/>
        <v>269.33979999999997</v>
      </c>
      <c r="I161" s="3">
        <f t="shared" ca="1" si="10"/>
        <v>0.10070928435027748</v>
      </c>
      <c r="J161">
        <f t="shared" ca="1" si="11"/>
        <v>3.460000000000008</v>
      </c>
      <c r="K161" s="2">
        <f t="shared" ca="1" si="13"/>
        <v>4.6547149999999986</v>
      </c>
    </row>
    <row r="162" spans="1:11" x14ac:dyDescent="0.25">
      <c r="A162" vm="935">
        <f ca="1"/>
        <v>45894</v>
      </c>
      <c r="B162" vm="936">
        <f ca="1"/>
        <v>239.43</v>
      </c>
      <c r="C162" vm="937">
        <f ca="1"/>
        <v>242.565</v>
      </c>
      <c r="D162" vm="937">
        <f ca="1"/>
        <v>242.565</v>
      </c>
      <c r="E162" vm="936">
        <f ca="1"/>
        <v>239.43</v>
      </c>
      <c r="F162" vm="938">
        <f ca="1"/>
        <v>3513327</v>
      </c>
      <c r="G162" s="2">
        <f t="shared" ca="1" si="12"/>
        <v>245.27000000000004</v>
      </c>
      <c r="H162" s="2">
        <f t="shared" ca="1" si="9"/>
        <v>268.50779999999997</v>
      </c>
      <c r="I162" s="3">
        <f t="shared" ca="1" si="10"/>
        <v>8.8615076839138052E-2</v>
      </c>
      <c r="J162">
        <f t="shared" ca="1" si="11"/>
        <v>3.1349999999999909</v>
      </c>
      <c r="K162" s="2">
        <f t="shared" ca="1" si="13"/>
        <v>4.5919649999999992</v>
      </c>
    </row>
    <row r="163" spans="1:11" x14ac:dyDescent="0.25">
      <c r="A163" vm="939">
        <f ca="1"/>
        <v>45895</v>
      </c>
      <c r="B163" vm="940">
        <f ca="1"/>
        <v>242.63</v>
      </c>
      <c r="C163" vm="941">
        <f ca="1"/>
        <v>241.02</v>
      </c>
      <c r="D163" vm="942">
        <f ca="1"/>
        <v>244.98</v>
      </c>
      <c r="E163" vm="943">
        <f ca="1"/>
        <v>240.38</v>
      </c>
      <c r="F163" vm="944">
        <f ca="1"/>
        <v>5386582</v>
      </c>
      <c r="G163" s="2">
        <f t="shared" ca="1" si="12"/>
        <v>244.28100000000003</v>
      </c>
      <c r="H163" s="2">
        <f t="shared" ca="1" si="9"/>
        <v>267.81599999999997</v>
      </c>
      <c r="I163" s="3">
        <f t="shared" ca="1" si="10"/>
        <v>0.1031644994089298</v>
      </c>
      <c r="J163">
        <f t="shared" ca="1" si="11"/>
        <v>4.5999999999999943</v>
      </c>
      <c r="K163" s="2">
        <f t="shared" ca="1" si="13"/>
        <v>4.5829699999999987</v>
      </c>
    </row>
    <row r="164" spans="1:11" x14ac:dyDescent="0.25">
      <c r="A164" vm="945">
        <f ca="1"/>
        <v>45896</v>
      </c>
      <c r="B164" vm="946">
        <f ca="1"/>
        <v>244.84</v>
      </c>
      <c r="C164" vm="947">
        <f ca="1"/>
        <v>242.87</v>
      </c>
      <c r="D164" vm="948">
        <f ca="1"/>
        <v>245.96</v>
      </c>
      <c r="E164" vm="949">
        <f ca="1"/>
        <v>242</v>
      </c>
      <c r="F164" vm="950">
        <f ca="1"/>
        <v>3698372</v>
      </c>
      <c r="G164" s="2">
        <f t="shared" ca="1" si="12"/>
        <v>243.51000000000005</v>
      </c>
      <c r="H164" s="2">
        <f t="shared" ca="1" si="9"/>
        <v>267.07620000000003</v>
      </c>
      <c r="I164" s="3">
        <f t="shared" ca="1" si="10"/>
        <v>0.11321269437119219</v>
      </c>
      <c r="J164">
        <f t="shared" ca="1" si="11"/>
        <v>3.960000000000008</v>
      </c>
      <c r="K164" s="2">
        <f t="shared" ca="1" si="13"/>
        <v>4.6259699999999979</v>
      </c>
    </row>
    <row r="165" spans="1:11" x14ac:dyDescent="0.25">
      <c r="A165" vm="951">
        <f ca="1"/>
        <v>45897</v>
      </c>
      <c r="B165" vm="952">
        <f ca="1"/>
        <v>245.73</v>
      </c>
      <c r="C165" vm="953">
        <f ca="1"/>
        <v>245.43</v>
      </c>
      <c r="D165" vm="954">
        <f ca="1"/>
        <v>245.88</v>
      </c>
      <c r="E165" vm="955">
        <f ca="1"/>
        <v>243.36</v>
      </c>
      <c r="F165" vm="956">
        <f ca="1"/>
        <v>2820817</v>
      </c>
      <c r="G165" s="2">
        <f t="shared" ca="1" si="12"/>
        <v>243.13899999999998</v>
      </c>
      <c r="H165" s="2">
        <f t="shared" ca="1" si="9"/>
        <v>266.32979999999998</v>
      </c>
      <c r="I165" s="3">
        <f t="shared" ca="1" si="10"/>
        <v>0.11725925252341551</v>
      </c>
      <c r="J165">
        <f t="shared" ca="1" si="11"/>
        <v>2.5199999999999818</v>
      </c>
      <c r="K165" s="2">
        <f t="shared" ca="1" si="13"/>
        <v>4.3634699999999969</v>
      </c>
    </row>
    <row r="166" spans="1:11" x14ac:dyDescent="0.25">
      <c r="A166" vm="957">
        <f ca="1"/>
        <v>45898</v>
      </c>
      <c r="B166" vm="357">
        <f ca="1"/>
        <v>243.49</v>
      </c>
      <c r="C166" vm="958">
        <f ca="1"/>
        <v>245.23</v>
      </c>
      <c r="D166" vm="959">
        <f ca="1"/>
        <v>245.4599</v>
      </c>
      <c r="E166" vm="960">
        <f ca="1"/>
        <v>241.72</v>
      </c>
      <c r="F166" vm="961">
        <f ca="1"/>
        <v>2967558</v>
      </c>
      <c r="G166" s="2">
        <f t="shared" ca="1" si="12"/>
        <v>242.81099999999998</v>
      </c>
      <c r="H166" s="2">
        <f t="shared" ca="1" si="9"/>
        <v>265.53539999999998</v>
      </c>
      <c r="I166" s="3">
        <f t="shared" ca="1" si="10"/>
        <v>0.10707465672456129</v>
      </c>
      <c r="J166">
        <f t="shared" ca="1" si="11"/>
        <v>3.7399000000000058</v>
      </c>
      <c r="K166" s="2">
        <f t="shared" ca="1" si="13"/>
        <v>4.2570099999999984</v>
      </c>
    </row>
    <row r="167" spans="1:11" x14ac:dyDescent="0.25">
      <c r="A167" vm="962">
        <f ca="1"/>
        <v>45902</v>
      </c>
      <c r="B167" vm="963">
        <f ca="1"/>
        <v>241.5</v>
      </c>
      <c r="C167" vm="437">
        <f ca="1"/>
        <v>240.9</v>
      </c>
      <c r="D167" vm="964">
        <f ca="1"/>
        <v>241.55</v>
      </c>
      <c r="E167" vm="895">
        <f ca="1"/>
        <v>238.25</v>
      </c>
      <c r="F167" vm="965">
        <f ca="1"/>
        <v>3469501</v>
      </c>
      <c r="G167" s="2">
        <f t="shared" ca="1" si="12"/>
        <v>242.28699999999998</v>
      </c>
      <c r="H167" s="2">
        <f t="shared" ca="1" si="9"/>
        <v>264.74600000000004</v>
      </c>
      <c r="I167" s="3">
        <f t="shared" ca="1" si="10"/>
        <v>9.802673456397204E-2</v>
      </c>
      <c r="J167">
        <f t="shared" ca="1" si="11"/>
        <v>3.3000000000000114</v>
      </c>
      <c r="K167" s="2">
        <f t="shared" ca="1" si="13"/>
        <v>4.2235099999999992</v>
      </c>
    </row>
    <row r="168" spans="1:11" x14ac:dyDescent="0.25">
      <c r="A168" vm="966">
        <f ca="1"/>
        <v>45903</v>
      </c>
      <c r="B168" vm="967">
        <f ca="1"/>
        <v>244.1</v>
      </c>
      <c r="C168" vm="968">
        <f ca="1"/>
        <v>240.02</v>
      </c>
      <c r="D168" vm="969">
        <f ca="1"/>
        <v>244.25</v>
      </c>
      <c r="E168" vm="970">
        <f ca="1"/>
        <v>239.41</v>
      </c>
      <c r="F168" vm="971">
        <f ca="1"/>
        <v>3163225</v>
      </c>
      <c r="G168" s="2">
        <f t="shared" ca="1" si="12"/>
        <v>241.95850000000004</v>
      </c>
      <c r="H168" s="2">
        <f t="shared" ca="1" si="9"/>
        <v>263.84440000000001</v>
      </c>
      <c r="I168" s="3">
        <f t="shared" ca="1" si="10"/>
        <v>0.10984814040192781</v>
      </c>
      <c r="J168">
        <f t="shared" ca="1" si="11"/>
        <v>4.8400000000000034</v>
      </c>
      <c r="K168" s="2">
        <f t="shared" ca="1" si="13"/>
        <v>4.2752599999999985</v>
      </c>
    </row>
    <row r="169" spans="1:11" x14ac:dyDescent="0.25">
      <c r="A169" vm="972">
        <f ca="1"/>
        <v>45904</v>
      </c>
      <c r="B169" vm="973">
        <f ca="1"/>
        <v>247.18</v>
      </c>
      <c r="C169" vm="974">
        <f ca="1"/>
        <v>245.42</v>
      </c>
      <c r="D169" vm="865">
        <f ca="1"/>
        <v>249.28</v>
      </c>
      <c r="E169" vm="975">
        <f ca="1"/>
        <v>242.85</v>
      </c>
      <c r="F169" vm="976">
        <f ca="1"/>
        <v>4765087</v>
      </c>
      <c r="G169" s="2">
        <f t="shared" ca="1" si="12"/>
        <v>241.70350000000008</v>
      </c>
      <c r="H169" s="2">
        <f t="shared" ca="1" si="9"/>
        <v>262.91219999999998</v>
      </c>
      <c r="I169" s="3">
        <f t="shared" ca="1" si="10"/>
        <v>0.12385195962535245</v>
      </c>
      <c r="J169">
        <f t="shared" ca="1" si="11"/>
        <v>6.4300000000000068</v>
      </c>
      <c r="K169" s="2">
        <f t="shared" ca="1" si="13"/>
        <v>4.3447599999999991</v>
      </c>
    </row>
    <row r="170" spans="1:11" x14ac:dyDescent="0.25">
      <c r="A170" vm="977">
        <f ca="1"/>
        <v>45905</v>
      </c>
      <c r="B170" vm="978">
        <f ca="1"/>
        <v>248.53</v>
      </c>
      <c r="C170" vm="979">
        <f ca="1"/>
        <v>248.23</v>
      </c>
      <c r="D170" vm="980">
        <f ca="1"/>
        <v>249.03</v>
      </c>
      <c r="E170" vm="981">
        <f ca="1"/>
        <v>245.45</v>
      </c>
      <c r="F170" vm="982">
        <f ca="1"/>
        <v>3147478</v>
      </c>
      <c r="G170" s="2">
        <f t="shared" ca="1" si="12"/>
        <v>241.62200000000001</v>
      </c>
      <c r="H170" s="2">
        <f t="shared" ca="1" si="9"/>
        <v>262.0616</v>
      </c>
      <c r="I170" s="3">
        <f t="shared" ca="1" si="10"/>
        <v>0.12998999727198335</v>
      </c>
      <c r="J170">
        <f t="shared" ca="1" si="11"/>
        <v>3.5800000000000125</v>
      </c>
      <c r="K170" s="2">
        <f t="shared" ca="1" si="13"/>
        <v>4.2175099999999999</v>
      </c>
    </row>
    <row r="171" spans="1:11" x14ac:dyDescent="0.25">
      <c r="A171" vm="983">
        <f ca="1"/>
        <v>45908</v>
      </c>
      <c r="B171" vm="984">
        <f ca="1"/>
        <v>256.08999999999997</v>
      </c>
      <c r="C171" vm="985">
        <f ca="1"/>
        <v>248.63</v>
      </c>
      <c r="D171" vm="986">
        <f ca="1"/>
        <v>257.14999999999998</v>
      </c>
      <c r="E171" vm="987">
        <f ca="1"/>
        <v>247.02</v>
      </c>
      <c r="F171" vm="988">
        <f ca="1"/>
        <v>6940270</v>
      </c>
      <c r="G171" s="2">
        <f t="shared" ca="1" si="12"/>
        <v>242.31300000000002</v>
      </c>
      <c r="H171" s="2">
        <f t="shared" ca="1" si="9"/>
        <v>261.34480000000002</v>
      </c>
      <c r="I171" s="3">
        <f t="shared" ca="1" si="10"/>
        <v>0.16436300809311621</v>
      </c>
      <c r="J171">
        <f t="shared" ca="1" si="11"/>
        <v>10.129999999999967</v>
      </c>
      <c r="K171" s="2">
        <f t="shared" ca="1" si="13"/>
        <v>4.3325099999999992</v>
      </c>
    </row>
    <row r="172" spans="1:11" x14ac:dyDescent="0.25">
      <c r="A172" vm="989">
        <f ca="1"/>
        <v>45909</v>
      </c>
      <c r="B172" vm="990">
        <f ca="1"/>
        <v>259.11</v>
      </c>
      <c r="C172" vm="991">
        <f ca="1"/>
        <v>256.12</v>
      </c>
      <c r="D172" vm="992">
        <f ca="1"/>
        <v>260.66000000000003</v>
      </c>
      <c r="E172" vm="993">
        <f ca="1"/>
        <v>254.88</v>
      </c>
      <c r="F172" vm="994">
        <f ca="1"/>
        <v>4931105</v>
      </c>
      <c r="G172" s="2">
        <f t="shared" ca="1" si="12"/>
        <v>243.45349999999999</v>
      </c>
      <c r="H172" s="2">
        <f t="shared" ca="1" si="9"/>
        <v>260.733</v>
      </c>
      <c r="I172" s="3">
        <f t="shared" ca="1" si="10"/>
        <v>0.17809402564335741</v>
      </c>
      <c r="J172">
        <f t="shared" ca="1" si="11"/>
        <v>5.7800000000000296</v>
      </c>
      <c r="K172" s="2">
        <f t="shared" ca="1" si="13"/>
        <v>4.1990099999999995</v>
      </c>
    </row>
    <row r="173" spans="1:11" x14ac:dyDescent="0.25">
      <c r="A173" vm="995">
        <f ca="1"/>
        <v>45910</v>
      </c>
      <c r="B173" vm="996">
        <f ca="1"/>
        <v>256.88</v>
      </c>
      <c r="C173" vm="997">
        <f ca="1"/>
        <v>259.64999999999998</v>
      </c>
      <c r="D173" vm="998">
        <f ca="1"/>
        <v>260.08</v>
      </c>
      <c r="E173" vm="999">
        <f ca="1"/>
        <v>254.56</v>
      </c>
      <c r="F173" vm="1000">
        <f ca="1"/>
        <v>5185420</v>
      </c>
      <c r="G173" s="2">
        <f t="shared" ca="1" si="12"/>
        <v>244.55899999999997</v>
      </c>
      <c r="H173" s="2">
        <f t="shared" ca="1" si="9"/>
        <v>259.97500000000002</v>
      </c>
      <c r="I173" s="3">
        <f t="shared" ca="1" si="10"/>
        <v>0.16795489679003373</v>
      </c>
      <c r="J173">
        <f t="shared" ca="1" si="11"/>
        <v>5.5199999999999818</v>
      </c>
      <c r="K173" s="2">
        <f t="shared" ca="1" si="13"/>
        <v>4.2450099999999988</v>
      </c>
    </row>
    <row r="174" spans="1:11" x14ac:dyDescent="0.25">
      <c r="A174" vm="1001">
        <f ca="1"/>
        <v>45911</v>
      </c>
      <c r="B174" vm="1002">
        <f ca="1"/>
        <v>257.01</v>
      </c>
      <c r="C174" vm="1003">
        <f ca="1"/>
        <v>257.56</v>
      </c>
      <c r="D174" vm="1004">
        <f ca="1"/>
        <v>258.54500000000002</v>
      </c>
      <c r="E174" vm="1005">
        <f ca="1"/>
        <v>255.655</v>
      </c>
      <c r="F174" vm="1006">
        <f ca="1"/>
        <v>3576048</v>
      </c>
      <c r="G174" s="2">
        <f t="shared" ca="1" si="12"/>
        <v>245.40600000000001</v>
      </c>
      <c r="H174" s="2">
        <f t="shared" ca="1" si="9"/>
        <v>259.2912</v>
      </c>
      <c r="I174" s="3">
        <f t="shared" ca="1" si="10"/>
        <v>0.16854596708193137</v>
      </c>
      <c r="J174">
        <f t="shared" ca="1" si="11"/>
        <v>2.8900000000000148</v>
      </c>
      <c r="K174" s="2">
        <f t="shared" ca="1" si="13"/>
        <v>4.1574549999999988</v>
      </c>
    </row>
    <row r="175" spans="1:11" x14ac:dyDescent="0.25">
      <c r="A175" vm="1007">
        <f ca="1"/>
        <v>45912</v>
      </c>
      <c r="B175" vm="137">
        <f ca="1"/>
        <v>253.44</v>
      </c>
      <c r="C175" vm="1008">
        <f ca="1"/>
        <v>256.95</v>
      </c>
      <c r="D175" vm="1009">
        <f ca="1"/>
        <v>257.25</v>
      </c>
      <c r="E175" vm="1010">
        <f ca="1"/>
        <v>252.42500000000001</v>
      </c>
      <c r="F175" vm="1011">
        <f ca="1"/>
        <v>3433300</v>
      </c>
      <c r="G175" s="2">
        <f t="shared" ca="1" si="12"/>
        <v>246.22250000000003</v>
      </c>
      <c r="H175" s="2">
        <f t="shared" ca="1" si="9"/>
        <v>258.60700000000003</v>
      </c>
      <c r="I175" s="3">
        <f t="shared" ca="1" si="10"/>
        <v>0.15231426752750754</v>
      </c>
      <c r="J175">
        <f t="shared" ca="1" si="11"/>
        <v>4.8249999999999886</v>
      </c>
      <c r="K175" s="2">
        <f t="shared" ca="1" si="13"/>
        <v>4.2297049999999983</v>
      </c>
    </row>
    <row r="176" spans="1:11" x14ac:dyDescent="0.25">
      <c r="A176" vm="1012">
        <f ca="1"/>
        <v>45915</v>
      </c>
      <c r="B176" vm="1013">
        <f ca="1"/>
        <v>256.24</v>
      </c>
      <c r="C176" vm="1014">
        <f ca="1"/>
        <v>254.02</v>
      </c>
      <c r="D176" vm="1015">
        <f ca="1"/>
        <v>259.05</v>
      </c>
      <c r="E176" vm="1016">
        <f ca="1"/>
        <v>254</v>
      </c>
      <c r="F176" vm="1017">
        <f ca="1"/>
        <v>4028365</v>
      </c>
      <c r="G176" s="2">
        <f t="shared" ca="1" si="12"/>
        <v>247.04849999999996</v>
      </c>
      <c r="H176" s="2">
        <f t="shared" ca="1" si="9"/>
        <v>257.89240000000001</v>
      </c>
      <c r="I176" s="3">
        <f t="shared" ca="1" si="10"/>
        <v>0.16504501227607538</v>
      </c>
      <c r="J176">
        <f t="shared" ca="1" si="11"/>
        <v>5.0500000000000114</v>
      </c>
      <c r="K176" s="2">
        <f t="shared" ca="1" si="13"/>
        <v>4.2897049999999997</v>
      </c>
    </row>
    <row r="177" spans="1:11" x14ac:dyDescent="0.25">
      <c r="A177" vm="1018">
        <f ca="1"/>
        <v>45916</v>
      </c>
      <c r="B177" vm="1019">
        <f ca="1"/>
        <v>257.52</v>
      </c>
      <c r="C177" vm="1020">
        <f ca="1"/>
        <v>256.26</v>
      </c>
      <c r="D177" vm="1021">
        <f ca="1"/>
        <v>258</v>
      </c>
      <c r="E177" vm="169">
        <f ca="1"/>
        <v>254.41</v>
      </c>
      <c r="F177" vm="1022">
        <f ca="1"/>
        <v>2719918</v>
      </c>
      <c r="G177" s="2">
        <f t="shared" ca="1" si="12"/>
        <v>247.95199999999994</v>
      </c>
      <c r="H177" s="2">
        <f t="shared" ca="1" si="9"/>
        <v>257.1934</v>
      </c>
      <c r="I177" s="3">
        <f t="shared" ca="1" si="10"/>
        <v>0.17086478130399185</v>
      </c>
      <c r="J177">
        <f t="shared" ca="1" si="11"/>
        <v>3.5900000000000034</v>
      </c>
      <c r="K177" s="2">
        <f t="shared" ca="1" si="13"/>
        <v>4.3539950000000003</v>
      </c>
    </row>
    <row r="178" spans="1:11" x14ac:dyDescent="0.25">
      <c r="A178" vm="1023">
        <f ca="1"/>
        <v>45917</v>
      </c>
      <c r="B178" vm="1024">
        <f ca="1"/>
        <v>259.08</v>
      </c>
      <c r="C178" vm="1025">
        <f ca="1"/>
        <v>257.495</v>
      </c>
      <c r="D178" vm="1026">
        <f ca="1"/>
        <v>260.96440000000001</v>
      </c>
      <c r="E178" vm="1002">
        <f ca="1"/>
        <v>257.01</v>
      </c>
      <c r="F178" vm="1027">
        <f ca="1"/>
        <v>3974785</v>
      </c>
      <c r="G178" s="2">
        <f t="shared" ca="1" si="12"/>
        <v>248.84200000000001</v>
      </c>
      <c r="H178" s="2">
        <f t="shared" ca="1" si="9"/>
        <v>256.56660000000005</v>
      </c>
      <c r="I178" s="3">
        <f t="shared" ca="1" si="10"/>
        <v>0.17795762480676536</v>
      </c>
      <c r="J178">
        <f t="shared" ca="1" si="11"/>
        <v>3.954400000000021</v>
      </c>
      <c r="K178" s="2">
        <f t="shared" ca="1" si="13"/>
        <v>4.3847150000000017</v>
      </c>
    </row>
    <row r="179" spans="1:11" x14ac:dyDescent="0.25">
      <c r="A179" vm="1028">
        <f ca="1"/>
        <v>45918</v>
      </c>
      <c r="B179" vm="583">
        <f ca="1"/>
        <v>265</v>
      </c>
      <c r="C179" vm="1029">
        <f ca="1"/>
        <v>258.86</v>
      </c>
      <c r="D179" vm="1030">
        <f ca="1"/>
        <v>265.23</v>
      </c>
      <c r="E179" vm="1031">
        <f ca="1"/>
        <v>256.80040000000002</v>
      </c>
      <c r="F179" vm="1032">
        <f ca="1"/>
        <v>4988421</v>
      </c>
      <c r="G179" s="2">
        <f t="shared" ca="1" si="12"/>
        <v>249.96450000000004</v>
      </c>
      <c r="H179" s="2">
        <f t="shared" ca="1" si="9"/>
        <v>256.06380000000001</v>
      </c>
      <c r="I179" s="3">
        <f t="shared" ca="1" si="10"/>
        <v>0.2048740565608802</v>
      </c>
      <c r="J179">
        <f t="shared" ca="1" si="11"/>
        <v>8.4295999999999935</v>
      </c>
      <c r="K179" s="2">
        <f t="shared" ca="1" si="13"/>
        <v>4.6791950000000018</v>
      </c>
    </row>
    <row r="180" spans="1:11" x14ac:dyDescent="0.25">
      <c r="A180" vm="1033">
        <f ca="1"/>
        <v>45919</v>
      </c>
      <c r="B180" vm="1034">
        <f ca="1"/>
        <v>266.39999999999998</v>
      </c>
      <c r="C180" vm="1035">
        <f ca="1"/>
        <v>266.05</v>
      </c>
      <c r="D180" vm="1036">
        <f ca="1"/>
        <v>267.87</v>
      </c>
      <c r="E180" vm="1037">
        <f ca="1"/>
        <v>263.64</v>
      </c>
      <c r="F180" vm="1038">
        <f ca="1"/>
        <v>9858112</v>
      </c>
      <c r="G180" s="2">
        <f t="shared" ca="1" si="12"/>
        <v>251.31450000000004</v>
      </c>
      <c r="H180" s="2">
        <f t="shared" ref="H180:H216" ca="1" si="14">AVERAGE(B131:B180)</f>
        <v>255.64320000000001</v>
      </c>
      <c r="I180" s="3">
        <f t="shared" ca="1" si="10"/>
        <v>0.21123942893516401</v>
      </c>
      <c r="J180">
        <f t="shared" ca="1" si="11"/>
        <v>4.2300000000000182</v>
      </c>
      <c r="K180" s="2">
        <f t="shared" ca="1" si="13"/>
        <v>4.6981950000000028</v>
      </c>
    </row>
    <row r="181" spans="1:11" x14ac:dyDescent="0.25">
      <c r="A181" vm="1039">
        <f ca="1"/>
        <v>45922</v>
      </c>
      <c r="B181" vm="1040">
        <f ca="1"/>
        <v>271.37</v>
      </c>
      <c r="C181" vm="1041">
        <f ca="1"/>
        <v>266.62</v>
      </c>
      <c r="D181" vm="1042">
        <f ca="1"/>
        <v>272.31</v>
      </c>
      <c r="E181" vm="1043">
        <f ca="1"/>
        <v>266</v>
      </c>
      <c r="F181" vm="1044">
        <f ca="1"/>
        <v>5030540</v>
      </c>
      <c r="G181" s="2">
        <f t="shared" ca="1" si="12"/>
        <v>252.77850000000004</v>
      </c>
      <c r="H181" s="2">
        <f t="shared" ca="1" si="14"/>
        <v>255.39880000000005</v>
      </c>
      <c r="I181" s="3">
        <f t="shared" ca="1" si="10"/>
        <v>0.23383650086387209</v>
      </c>
      <c r="J181">
        <f t="shared" ca="1" si="11"/>
        <v>6.3100000000000023</v>
      </c>
      <c r="K181" s="2">
        <f t="shared" ca="1" si="13"/>
        <v>4.840695000000002</v>
      </c>
    </row>
    <row r="182" spans="1:11" x14ac:dyDescent="0.25">
      <c r="A182" vm="1045">
        <f ca="1"/>
        <v>45923</v>
      </c>
      <c r="B182" vm="1046">
        <f ca="1"/>
        <v>272.24</v>
      </c>
      <c r="C182" vm="1047">
        <f ca="1"/>
        <v>272.7</v>
      </c>
      <c r="D182" vm="1048">
        <f ca="1"/>
        <v>273.2962</v>
      </c>
      <c r="E182" vm="1049">
        <f ca="1"/>
        <v>269.26499999999999</v>
      </c>
      <c r="F182" vm="1050">
        <f ca="1"/>
        <v>5394121</v>
      </c>
      <c r="G182" s="2">
        <f t="shared" ca="1" si="12"/>
        <v>254.41900000000001</v>
      </c>
      <c r="H182" s="2">
        <f t="shared" ca="1" si="14"/>
        <v>255.16780000000006</v>
      </c>
      <c r="I182" s="3">
        <f t="shared" ca="1" si="10"/>
        <v>0.23779212512503412</v>
      </c>
      <c r="J182">
        <f t="shared" ca="1" si="11"/>
        <v>4.0312000000000126</v>
      </c>
      <c r="K182" s="2">
        <f t="shared" ca="1" si="13"/>
        <v>4.8855050000000038</v>
      </c>
    </row>
    <row r="183" spans="1:11" x14ac:dyDescent="0.25">
      <c r="A183" vm="1051">
        <f ca="1"/>
        <v>45924</v>
      </c>
      <c r="B183" vm="624">
        <f ca="1"/>
        <v>267.52999999999997</v>
      </c>
      <c r="C183" vm="1052">
        <f ca="1"/>
        <v>272.62</v>
      </c>
      <c r="D183" vm="1053">
        <f ca="1"/>
        <v>273.6499</v>
      </c>
      <c r="E183" vm="1054">
        <f ca="1"/>
        <v>267.3</v>
      </c>
      <c r="F183" vm="1055">
        <f ca="1"/>
        <v>3159924</v>
      </c>
      <c r="G183" s="2">
        <f t="shared" ca="1" si="12"/>
        <v>255.66399999999999</v>
      </c>
      <c r="H183" s="2">
        <f t="shared" ca="1" si="14"/>
        <v>254.86440000000005</v>
      </c>
      <c r="I183" s="3">
        <f t="shared" ca="1" si="10"/>
        <v>0.21637719378012177</v>
      </c>
      <c r="J183">
        <f t="shared" ca="1" si="11"/>
        <v>6.349899999999991</v>
      </c>
      <c r="K183" s="2">
        <f t="shared" ca="1" si="13"/>
        <v>4.9730000000000034</v>
      </c>
    </row>
    <row r="184" spans="1:11" x14ac:dyDescent="0.25">
      <c r="A184" vm="1056">
        <f ca="1"/>
        <v>45925</v>
      </c>
      <c r="B184" vm="807">
        <f ca="1"/>
        <v>281.44</v>
      </c>
      <c r="C184" vm="1057">
        <f ca="1"/>
        <v>272.935</v>
      </c>
      <c r="D184" vm="1058">
        <f ca="1"/>
        <v>284.23</v>
      </c>
      <c r="E184" vm="1059">
        <f ca="1"/>
        <v>271.14800000000002</v>
      </c>
      <c r="F184" vm="1060">
        <f ca="1"/>
        <v>11506192</v>
      </c>
      <c r="G184" s="2">
        <f t="shared" ca="1" si="12"/>
        <v>257.49399999999997</v>
      </c>
      <c r="H184" s="2">
        <f t="shared" ca="1" si="14"/>
        <v>254.8548000000001</v>
      </c>
      <c r="I184" s="3">
        <f t="shared" ca="1" si="10"/>
        <v>0.27962171501318545</v>
      </c>
      <c r="J184">
        <f t="shared" ca="1" si="11"/>
        <v>13.081999999999994</v>
      </c>
      <c r="K184" s="2">
        <f t="shared" ca="1" si="13"/>
        <v>5.4291000000000027</v>
      </c>
    </row>
    <row r="185" spans="1:11" x14ac:dyDescent="0.25">
      <c r="A185" vm="1061">
        <f ca="1"/>
        <v>45926</v>
      </c>
      <c r="B185" vm="1062">
        <f ca="1"/>
        <v>284.31</v>
      </c>
      <c r="C185" vm="1063">
        <f ca="1"/>
        <v>280.51</v>
      </c>
      <c r="D185" vm="1064">
        <f ca="1"/>
        <v>288.85000000000002</v>
      </c>
      <c r="E185" vm="1065">
        <f ca="1"/>
        <v>280.11</v>
      </c>
      <c r="F185" vm="1066">
        <f ca="1"/>
        <v>9063938</v>
      </c>
      <c r="G185" s="2">
        <f t="shared" ca="1" si="12"/>
        <v>259.423</v>
      </c>
      <c r="H185" s="2">
        <f t="shared" ca="1" si="14"/>
        <v>254.90100000000007</v>
      </c>
      <c r="I185" s="3">
        <f t="shared" ca="1" si="10"/>
        <v>0.29267072838046748</v>
      </c>
      <c r="J185">
        <f t="shared" ca="1" si="11"/>
        <v>8.7400000000000091</v>
      </c>
      <c r="K185" s="2">
        <f t="shared" ca="1" si="13"/>
        <v>5.7401000000000035</v>
      </c>
    </row>
    <row r="186" spans="1:11" x14ac:dyDescent="0.25">
      <c r="A186" vm="1067">
        <f ca="1"/>
        <v>45929</v>
      </c>
      <c r="B186" vm="1068">
        <f ca="1"/>
        <v>279.8</v>
      </c>
      <c r="C186" vm="1069">
        <f ca="1"/>
        <v>286</v>
      </c>
      <c r="D186" vm="1069">
        <f ca="1"/>
        <v>286</v>
      </c>
      <c r="E186" vm="1070">
        <f ca="1"/>
        <v>279.66000000000003</v>
      </c>
      <c r="F186" vm="1071">
        <f ca="1"/>
        <v>6022125</v>
      </c>
      <c r="G186" s="2">
        <f t="shared" ca="1" si="12"/>
        <v>261.23849999999999</v>
      </c>
      <c r="H186" s="2">
        <f t="shared" ca="1" si="14"/>
        <v>254.77960000000002</v>
      </c>
      <c r="I186" s="3">
        <f t="shared" ca="1" si="10"/>
        <v>0.2721651359461672</v>
      </c>
      <c r="J186">
        <f t="shared" ca="1" si="11"/>
        <v>6.339999999999975</v>
      </c>
      <c r="K186" s="2">
        <f t="shared" ca="1" si="13"/>
        <v>5.8701050000000023</v>
      </c>
    </row>
    <row r="187" spans="1:11" x14ac:dyDescent="0.25">
      <c r="A187" vm="1072">
        <f ca="1"/>
        <v>45930</v>
      </c>
      <c r="B187" vm="1073">
        <f ca="1"/>
        <v>282.16000000000003</v>
      </c>
      <c r="C187" vm="1074">
        <f ca="1"/>
        <v>280.88</v>
      </c>
      <c r="D187" vm="1075">
        <f ca="1"/>
        <v>286.02499999999998</v>
      </c>
      <c r="E187" vm="1076">
        <f ca="1"/>
        <v>280.52</v>
      </c>
      <c r="F187" vm="1077">
        <f ca="1"/>
        <v>5926924</v>
      </c>
      <c r="G187" s="2">
        <f t="shared" ca="1" si="12"/>
        <v>263.27149999999995</v>
      </c>
      <c r="H187" s="2">
        <f t="shared" ca="1" si="14"/>
        <v>254.72860000000003</v>
      </c>
      <c r="I187" s="3">
        <f t="shared" ca="1" si="10"/>
        <v>0.28289533509138876</v>
      </c>
      <c r="J187">
        <f t="shared" ca="1" si="11"/>
        <v>5.5049999999999955</v>
      </c>
      <c r="K187" s="2">
        <f t="shared" ca="1" si="13"/>
        <v>5.9803550000000012</v>
      </c>
    </row>
    <row r="188" spans="1:11" x14ac:dyDescent="0.25">
      <c r="A188" vm="1078">
        <f ca="1"/>
        <v>45931</v>
      </c>
      <c r="B188" vm="1079">
        <f ca="1"/>
        <v>286.49</v>
      </c>
      <c r="C188" vm="1080">
        <f ca="1"/>
        <v>280.2</v>
      </c>
      <c r="D188" vm="1081">
        <f ca="1"/>
        <v>286.58999999999997</v>
      </c>
      <c r="E188" vm="1082">
        <f ca="1"/>
        <v>280.14999999999998</v>
      </c>
      <c r="F188" vm="1083">
        <f ca="1"/>
        <v>4381338</v>
      </c>
      <c r="G188" s="2">
        <f t="shared" ca="1" si="12"/>
        <v>265.39099999999996</v>
      </c>
      <c r="H188" s="2">
        <f t="shared" ca="1" si="14"/>
        <v>254.81920000000002</v>
      </c>
      <c r="I188" s="3">
        <f t="shared" ca="1" si="10"/>
        <v>0.30258252250613804</v>
      </c>
      <c r="J188">
        <f t="shared" ca="1" si="11"/>
        <v>6.4399999999999977</v>
      </c>
      <c r="K188" s="2">
        <f t="shared" ca="1" si="13"/>
        <v>6.0603550000000013</v>
      </c>
    </row>
    <row r="189" spans="1:11" x14ac:dyDescent="0.25">
      <c r="A189" vm="1084">
        <f ca="1"/>
        <v>45932</v>
      </c>
      <c r="B189" vm="1085">
        <f ca="1"/>
        <v>286.72000000000003</v>
      </c>
      <c r="C189" vm="1086">
        <f ca="1"/>
        <v>285.79000000000002</v>
      </c>
      <c r="D189" vm="1087">
        <f ca="1"/>
        <v>288.54000000000002</v>
      </c>
      <c r="E189" vm="1088">
        <f ca="1"/>
        <v>282.79000000000002</v>
      </c>
      <c r="F189" vm="1089">
        <f ca="1"/>
        <v>3814232</v>
      </c>
      <c r="G189" s="2">
        <f t="shared" ca="1" si="12"/>
        <v>267.36799999999999</v>
      </c>
      <c r="H189" s="2">
        <f t="shared" ca="1" si="14"/>
        <v>254.9134</v>
      </c>
      <c r="I189" s="3">
        <f t="shared" ca="1" si="10"/>
        <v>0.30362826225334194</v>
      </c>
      <c r="J189">
        <f t="shared" ca="1" si="11"/>
        <v>5.75</v>
      </c>
      <c r="K189" s="2">
        <f t="shared" ca="1" si="13"/>
        <v>6.0263550000000006</v>
      </c>
    </row>
    <row r="190" spans="1:11" x14ac:dyDescent="0.25">
      <c r="A190" vm="1090">
        <f ca="1"/>
        <v>45933</v>
      </c>
      <c r="B190" vm="1091">
        <f ca="1"/>
        <v>288.37</v>
      </c>
      <c r="C190" vm="1092">
        <f ca="1"/>
        <v>287.5</v>
      </c>
      <c r="D190" vm="1093">
        <f ca="1"/>
        <v>293.32</v>
      </c>
      <c r="E190" vm="1094">
        <f ca="1"/>
        <v>287.3</v>
      </c>
      <c r="F190" vm="1095">
        <f ca="1"/>
        <v>4375082</v>
      </c>
      <c r="G190" s="2">
        <f t="shared" ca="1" si="12"/>
        <v>269.36</v>
      </c>
      <c r="H190" s="2">
        <f t="shared" ca="1" si="14"/>
        <v>255.47060000000002</v>
      </c>
      <c r="I190" s="3">
        <f t="shared" ca="1" si="10"/>
        <v>0.31113030826589072</v>
      </c>
      <c r="J190">
        <f t="shared" ca="1" si="11"/>
        <v>6.0199999999999818</v>
      </c>
      <c r="K190" s="2">
        <f t="shared" ca="1" si="13"/>
        <v>6.1483549999999996</v>
      </c>
    </row>
    <row r="191" spans="1:11" x14ac:dyDescent="0.25">
      <c r="A191" vm="1096">
        <f ca="1"/>
        <v>45936</v>
      </c>
      <c r="B191" vm="1097">
        <f ca="1"/>
        <v>289.42</v>
      </c>
      <c r="C191" vm="1098">
        <f ca="1"/>
        <v>288.61</v>
      </c>
      <c r="D191" vm="1099">
        <f ca="1"/>
        <v>291.45</v>
      </c>
      <c r="E191" vm="1100">
        <f ca="1"/>
        <v>287.8</v>
      </c>
      <c r="F191" vm="1101">
        <f ca="1"/>
        <v>2881947</v>
      </c>
      <c r="G191" s="2">
        <f t="shared" ca="1" si="12"/>
        <v>271.0265</v>
      </c>
      <c r="H191" s="2">
        <f t="shared" ca="1" si="14"/>
        <v>256.06460000000004</v>
      </c>
      <c r="I191" s="3">
        <f t="shared" ca="1" si="10"/>
        <v>0.31590433754660374</v>
      </c>
      <c r="J191">
        <f t="shared" ca="1" si="11"/>
        <v>3.6499999999999773</v>
      </c>
      <c r="K191" s="2">
        <f t="shared" ca="1" si="13"/>
        <v>5.8243549999999997</v>
      </c>
    </row>
    <row r="192" spans="1:11" x14ac:dyDescent="0.25">
      <c r="A192" vm="1102">
        <f ca="1"/>
        <v>45937</v>
      </c>
      <c r="B192" vm="1103">
        <f ca="1"/>
        <v>293.87</v>
      </c>
      <c r="C192" vm="1104">
        <f ca="1"/>
        <v>295.55</v>
      </c>
      <c r="D192" vm="1105">
        <f ca="1"/>
        <v>301.04250000000002</v>
      </c>
      <c r="E192" vm="1106">
        <f ca="1"/>
        <v>293.28500000000003</v>
      </c>
      <c r="F192" vm="1107">
        <f ca="1"/>
        <v>7190126</v>
      </c>
      <c r="G192" s="2">
        <f t="shared" ca="1" si="12"/>
        <v>272.76449999999994</v>
      </c>
      <c r="H192" s="2">
        <f t="shared" ca="1" si="14"/>
        <v>256.67780000000005</v>
      </c>
      <c r="I192" s="3">
        <f t="shared" ca="1" si="10"/>
        <v>0.33613712830772036</v>
      </c>
      <c r="J192">
        <f t="shared" ca="1" si="11"/>
        <v>7.7574999999999932</v>
      </c>
      <c r="K192" s="2">
        <f t="shared" ca="1" si="13"/>
        <v>5.9232299999999984</v>
      </c>
    </row>
    <row r="193" spans="1:11" x14ac:dyDescent="0.25">
      <c r="A193" vm="1108">
        <f ca="1"/>
        <v>45938</v>
      </c>
      <c r="B193" vm="1109">
        <f ca="1"/>
        <v>289.45999999999998</v>
      </c>
      <c r="C193" vm="1110">
        <f ca="1"/>
        <v>294.16000000000003</v>
      </c>
      <c r="D193" vm="1111">
        <f ca="1"/>
        <v>294.2</v>
      </c>
      <c r="E193" vm="1112">
        <f ca="1"/>
        <v>286.47300000000001</v>
      </c>
      <c r="F193" vm="1113">
        <f ca="1"/>
        <v>5297030</v>
      </c>
      <c r="G193" s="2">
        <f t="shared" ca="1" si="12"/>
        <v>274.39350000000002</v>
      </c>
      <c r="H193" s="2">
        <f t="shared" ca="1" si="14"/>
        <v>257.21879999999999</v>
      </c>
      <c r="I193" s="3">
        <f t="shared" ca="1" si="10"/>
        <v>0.31608620532872589</v>
      </c>
      <c r="J193">
        <f t="shared" ca="1" si="11"/>
        <v>7.7269999999999754</v>
      </c>
      <c r="K193" s="2">
        <f t="shared" ca="1" si="13"/>
        <v>6.0335799999999979</v>
      </c>
    </row>
    <row r="194" spans="1:11" x14ac:dyDescent="0.25">
      <c r="A194" vm="1114">
        <f ca="1"/>
        <v>45939</v>
      </c>
      <c r="B194" vm="1115">
        <f ca="1"/>
        <v>288.23</v>
      </c>
      <c r="C194" vm="1116">
        <f ca="1"/>
        <v>289.82</v>
      </c>
      <c r="D194" vm="1117">
        <f ca="1"/>
        <v>290.13</v>
      </c>
      <c r="E194" vm="1118">
        <f ca="1"/>
        <v>283.32</v>
      </c>
      <c r="F194" vm="1119">
        <f ca="1"/>
        <v>4912375</v>
      </c>
      <c r="G194" s="2">
        <f t="shared" ca="1" si="12"/>
        <v>275.9545</v>
      </c>
      <c r="H194" s="2">
        <f t="shared" ca="1" si="14"/>
        <v>257.77819999999997</v>
      </c>
      <c r="I194" s="3">
        <f t="shared" ca="1" si="10"/>
        <v>0.31049377102846232</v>
      </c>
      <c r="J194">
        <f t="shared" ca="1" si="11"/>
        <v>6.8100000000000023</v>
      </c>
      <c r="K194" s="2">
        <f t="shared" ca="1" si="13"/>
        <v>6.2295799999999968</v>
      </c>
    </row>
    <row r="195" spans="1:11" x14ac:dyDescent="0.25">
      <c r="A195" vm="1120">
        <f ca="1"/>
        <v>45940</v>
      </c>
      <c r="B195" vm="1121">
        <f ca="1"/>
        <v>277.82</v>
      </c>
      <c r="C195" vm="1122">
        <f ca="1"/>
        <v>288.97000000000003</v>
      </c>
      <c r="D195" vm="1123">
        <f ca="1"/>
        <v>290.38499999999999</v>
      </c>
      <c r="E195" vm="1124">
        <f ca="1"/>
        <v>277.5</v>
      </c>
      <c r="F195" vm="1125">
        <f ca="1"/>
        <v>4508506</v>
      </c>
      <c r="G195" s="2">
        <f t="shared" ca="1" si="12"/>
        <v>277.17349999999999</v>
      </c>
      <c r="H195" s="2">
        <f t="shared" ca="1" si="14"/>
        <v>258.27159999999998</v>
      </c>
      <c r="I195" s="3">
        <f t="shared" ref="I195:I216" ca="1" si="15">(B195/$B$2)-1</f>
        <v>0.26316268073110849</v>
      </c>
      <c r="J195">
        <f t="shared" ref="J195:J216" ca="1" si="16">D195-E195</f>
        <v>12.884999999999991</v>
      </c>
      <c r="K195" s="2">
        <f t="shared" ca="1" si="13"/>
        <v>6.6325799999999973</v>
      </c>
    </row>
    <row r="196" spans="1:11" x14ac:dyDescent="0.25">
      <c r="A196" vm="1126">
        <f ca="1"/>
        <v>45943</v>
      </c>
      <c r="B196" vm="651">
        <f ca="1"/>
        <v>277.22000000000003</v>
      </c>
      <c r="C196" vm="1127">
        <f ca="1"/>
        <v>279.79000000000002</v>
      </c>
      <c r="D196" vm="1128">
        <f ca="1"/>
        <v>282.43990000000002</v>
      </c>
      <c r="E196" vm="1129">
        <f ca="1"/>
        <v>274.64</v>
      </c>
      <c r="F196" vm="1130">
        <f ca="1"/>
        <v>4333836</v>
      </c>
      <c r="G196" s="2">
        <f t="shared" ca="1" si="12"/>
        <v>278.22249999999997</v>
      </c>
      <c r="H196" s="2">
        <f t="shared" ca="1" si="14"/>
        <v>258.81499999999994</v>
      </c>
      <c r="I196" s="3">
        <f t="shared" ca="1" si="15"/>
        <v>0.26043466399927273</v>
      </c>
      <c r="J196">
        <f t="shared" ca="1" si="16"/>
        <v>7.7999000000000365</v>
      </c>
      <c r="K196" s="2">
        <f t="shared" ca="1" si="13"/>
        <v>6.7700749999999985</v>
      </c>
    </row>
    <row r="197" spans="1:11" x14ac:dyDescent="0.25">
      <c r="A197" vm="1131">
        <f ca="1"/>
        <v>45944</v>
      </c>
      <c r="B197" vm="1132">
        <f ca="1"/>
        <v>276.14999999999998</v>
      </c>
      <c r="C197" vm="1133">
        <f ca="1"/>
        <v>275.52</v>
      </c>
      <c r="D197" vm="1134">
        <f ca="1"/>
        <v>277.52999999999997</v>
      </c>
      <c r="E197" vm="1135">
        <f ca="1"/>
        <v>272.54689999999999</v>
      </c>
      <c r="F197" vm="1136">
        <f ca="1"/>
        <v>3058149</v>
      </c>
      <c r="G197" s="2">
        <f t="shared" ca="1" si="12"/>
        <v>279.15399999999994</v>
      </c>
      <c r="H197" s="2">
        <f t="shared" ca="1" si="14"/>
        <v>259.29839999999996</v>
      </c>
      <c r="I197" s="3">
        <f t="shared" ca="1" si="15"/>
        <v>0.25556970082749841</v>
      </c>
      <c r="J197">
        <f t="shared" ca="1" si="16"/>
        <v>4.983099999999979</v>
      </c>
      <c r="K197" s="2">
        <f t="shared" ca="1" si="13"/>
        <v>6.8397299999999976</v>
      </c>
    </row>
    <row r="198" spans="1:11" x14ac:dyDescent="0.25">
      <c r="A198" vm="1137">
        <f ca="1"/>
        <v>45945</v>
      </c>
      <c r="B198" vm="1138">
        <f ca="1"/>
        <v>280.75</v>
      </c>
      <c r="C198" vm="1139">
        <f ca="1"/>
        <v>278.38</v>
      </c>
      <c r="D198" vm="1140">
        <f ca="1"/>
        <v>285.45</v>
      </c>
      <c r="E198" vm="1141">
        <f ca="1"/>
        <v>277</v>
      </c>
      <c r="F198" vm="1142">
        <f ca="1"/>
        <v>3346753</v>
      </c>
      <c r="G198" s="2">
        <f t="shared" ca="1" si="12"/>
        <v>280.23749999999995</v>
      </c>
      <c r="H198" s="2">
        <f t="shared" ca="1" si="14"/>
        <v>259.89999999999998</v>
      </c>
      <c r="I198" s="3">
        <f t="shared" ca="1" si="15"/>
        <v>0.27648449577157397</v>
      </c>
      <c r="J198">
        <f t="shared" ca="1" si="16"/>
        <v>8.4499999999999886</v>
      </c>
      <c r="K198" s="2">
        <f t="shared" ca="1" si="13"/>
        <v>7.0645099999999958</v>
      </c>
    </row>
    <row r="199" spans="1:11" x14ac:dyDescent="0.25">
      <c r="A199" vm="1143">
        <f ca="1"/>
        <v>45946</v>
      </c>
      <c r="B199" vm="1144">
        <f ca="1"/>
        <v>275.97000000000003</v>
      </c>
      <c r="C199" vm="1145">
        <f ca="1"/>
        <v>281.11</v>
      </c>
      <c r="D199" vm="1146">
        <f ca="1"/>
        <v>282.56</v>
      </c>
      <c r="E199" vm="1147">
        <f ca="1"/>
        <v>275.60000000000002</v>
      </c>
      <c r="F199" vm="1148">
        <f ca="1"/>
        <v>2956923</v>
      </c>
      <c r="G199" s="2">
        <f t="shared" ca="1" si="12"/>
        <v>280.78599999999994</v>
      </c>
      <c r="H199" s="2">
        <f t="shared" ca="1" si="14"/>
        <v>260.37379999999996</v>
      </c>
      <c r="I199" s="3">
        <f t="shared" ca="1" si="15"/>
        <v>0.25475129580794786</v>
      </c>
      <c r="J199">
        <f t="shared" ca="1" si="16"/>
        <v>6.9599999999999795</v>
      </c>
      <c r="K199" s="2">
        <f t="shared" ca="1" si="13"/>
        <v>6.991029999999995</v>
      </c>
    </row>
    <row r="200" spans="1:11" x14ac:dyDescent="0.25">
      <c r="A200" vm="1149">
        <f ca="1"/>
        <v>45947</v>
      </c>
      <c r="B200" vm="1150">
        <f ca="1"/>
        <v>281.27999999999997</v>
      </c>
      <c r="C200" vm="1132">
        <f ca="1"/>
        <v>276.14999999999998</v>
      </c>
      <c r="D200" vm="1151">
        <f ca="1"/>
        <v>283.39999999999998</v>
      </c>
      <c r="E200" vm="1152">
        <f ca="1"/>
        <v>275.35000000000002</v>
      </c>
      <c r="F200" vm="1153">
        <f ca="1"/>
        <v>5309565</v>
      </c>
      <c r="G200" s="2">
        <f t="shared" ca="1" si="12"/>
        <v>281.53000000000003</v>
      </c>
      <c r="H200" s="2">
        <f t="shared" ca="1" si="14"/>
        <v>260.99619999999993</v>
      </c>
      <c r="I200" s="3">
        <f t="shared" ca="1" si="15"/>
        <v>0.27889424388469575</v>
      </c>
      <c r="J200">
        <f t="shared" ca="1" si="16"/>
        <v>8.0499999999999545</v>
      </c>
      <c r="K200" s="2">
        <f t="shared" ca="1" si="13"/>
        <v>7.1820299999999921</v>
      </c>
    </row>
    <row r="201" spans="1:11" x14ac:dyDescent="0.25">
      <c r="A201" vm="1154">
        <f ca="1"/>
        <v>45950</v>
      </c>
      <c r="B201" vm="1155">
        <f ca="1"/>
        <v>283.64999999999998</v>
      </c>
      <c r="C201" vm="801">
        <f ca="1"/>
        <v>281.25</v>
      </c>
      <c r="D201" vm="1156">
        <f ca="1"/>
        <v>285.5</v>
      </c>
      <c r="E201" vm="1157">
        <f ca="1"/>
        <v>280.95999999999998</v>
      </c>
      <c r="F201" vm="1158">
        <f ca="1"/>
        <v>3494336</v>
      </c>
      <c r="G201" s="2">
        <f t="shared" ca="1" si="12"/>
        <v>282.14399999999995</v>
      </c>
      <c r="H201" s="2">
        <f t="shared" ca="1" si="14"/>
        <v>261.82379999999989</v>
      </c>
      <c r="I201" s="3">
        <f t="shared" ca="1" si="15"/>
        <v>0.28966990997544784</v>
      </c>
      <c r="J201">
        <f t="shared" ca="1" si="16"/>
        <v>4.5400000000000205</v>
      </c>
      <c r="K201" s="2">
        <f t="shared" ca="1" si="13"/>
        <v>7.0935299999999923</v>
      </c>
    </row>
    <row r="202" spans="1:11" x14ac:dyDescent="0.25">
      <c r="A202" vm="1159">
        <f ca="1"/>
        <v>45951</v>
      </c>
      <c r="B202" vm="1160">
        <f ca="1"/>
        <v>282.05</v>
      </c>
      <c r="C202" vm="1161">
        <f ca="1"/>
        <v>283.31</v>
      </c>
      <c r="D202" vm="1162">
        <f ca="1"/>
        <v>285.31</v>
      </c>
      <c r="E202" vm="1163">
        <f ca="1"/>
        <v>281.60000000000002</v>
      </c>
      <c r="F202" vm="1164">
        <f ca="1"/>
        <v>4080981</v>
      </c>
      <c r="G202" s="2">
        <f t="shared" ca="1" si="12"/>
        <v>282.6345</v>
      </c>
      <c r="H202" s="2">
        <f t="shared" ca="1" si="14"/>
        <v>262.73879999999991</v>
      </c>
      <c r="I202" s="3">
        <f t="shared" ca="1" si="15"/>
        <v>0.28239519869055196</v>
      </c>
      <c r="J202">
        <f t="shared" ca="1" si="16"/>
        <v>3.7099999999999795</v>
      </c>
      <c r="K202" s="2">
        <f t="shared" ca="1" si="13"/>
        <v>7.077469999999991</v>
      </c>
    </row>
    <row r="203" spans="1:11" x14ac:dyDescent="0.25">
      <c r="A203" vm="1165">
        <f ca="1"/>
        <v>45952</v>
      </c>
      <c r="B203" vm="1166">
        <f ca="1"/>
        <v>287.51</v>
      </c>
      <c r="C203" vm="1167">
        <f ca="1"/>
        <v>281.99</v>
      </c>
      <c r="D203" vm="1168">
        <f ca="1"/>
        <v>289.17</v>
      </c>
      <c r="E203" vm="1169">
        <f ca="1"/>
        <v>281.35000000000002</v>
      </c>
      <c r="F203" vm="1170">
        <f ca="1"/>
        <v>10538480</v>
      </c>
      <c r="G203" s="2">
        <f t="shared" ca="1" si="12"/>
        <v>283.63350000000003</v>
      </c>
      <c r="H203" s="2">
        <f t="shared" ca="1" si="14"/>
        <v>263.79359999999991</v>
      </c>
      <c r="I203" s="3">
        <f t="shared" ca="1" si="15"/>
        <v>0.30722015095025923</v>
      </c>
      <c r="J203">
        <f t="shared" ca="1" si="16"/>
        <v>7.8199999999999932</v>
      </c>
      <c r="K203" s="2">
        <f t="shared" ca="1" si="13"/>
        <v>7.150974999999991</v>
      </c>
    </row>
    <row r="204" spans="1:11" x14ac:dyDescent="0.25">
      <c r="A204" vm="1171">
        <f ca="1"/>
        <v>45953</v>
      </c>
      <c r="B204" vm="670">
        <f ca="1"/>
        <v>285</v>
      </c>
      <c r="C204" vm="1172">
        <f ca="1"/>
        <v>264.95</v>
      </c>
      <c r="D204" vm="1173">
        <f ca="1"/>
        <v>285.57909999999998</v>
      </c>
      <c r="E204" vm="1174">
        <f ca="1"/>
        <v>263.56229999999999</v>
      </c>
      <c r="F204" vm="1175">
        <f ca="1"/>
        <v>16676394</v>
      </c>
      <c r="G204" s="2">
        <f t="shared" ca="1" si="12"/>
        <v>283.81149999999997</v>
      </c>
      <c r="H204" s="2">
        <f t="shared" ca="1" si="14"/>
        <v>264.69219999999996</v>
      </c>
      <c r="I204" s="3">
        <f t="shared" ca="1" si="15"/>
        <v>0.29580794762207874</v>
      </c>
      <c r="J204">
        <f t="shared" ca="1" si="16"/>
        <v>22.016799999999989</v>
      </c>
      <c r="K204" s="2">
        <f t="shared" ca="1" si="13"/>
        <v>7.5977149999999911</v>
      </c>
    </row>
    <row r="205" spans="1:11" x14ac:dyDescent="0.25">
      <c r="A205" vm="1176">
        <f ca="1"/>
        <v>45954</v>
      </c>
      <c r="B205" vm="1177">
        <f ca="1"/>
        <v>307.45999999999998</v>
      </c>
      <c r="C205" vm="769">
        <f ca="1"/>
        <v>283.77</v>
      </c>
      <c r="D205" vm="1178">
        <f ca="1"/>
        <v>310.75</v>
      </c>
      <c r="E205" vm="754">
        <f ca="1"/>
        <v>282.20999999999998</v>
      </c>
      <c r="F205" vm="1179">
        <f ca="1"/>
        <v>16914243</v>
      </c>
      <c r="G205" s="2">
        <f t="shared" ca="1" si="12"/>
        <v>284.96899999999999</v>
      </c>
      <c r="H205" s="2">
        <f t="shared" ca="1" si="14"/>
        <v>266.09919999999994</v>
      </c>
      <c r="I205" s="3">
        <f t="shared" ca="1" si="15"/>
        <v>0.39792670728380464</v>
      </c>
      <c r="J205">
        <f t="shared" ca="1" si="16"/>
        <v>28.54000000000002</v>
      </c>
      <c r="K205" s="2">
        <f t="shared" ca="1" si="13"/>
        <v>8.5877149999999922</v>
      </c>
    </row>
    <row r="206" spans="1:11" x14ac:dyDescent="0.25">
      <c r="A206" vm="1180">
        <f ca="1"/>
        <v>45957</v>
      </c>
      <c r="B206" vm="1181">
        <f ca="1"/>
        <v>313.08999999999997</v>
      </c>
      <c r="C206" vm="1182">
        <f ca="1"/>
        <v>307.8</v>
      </c>
      <c r="D206" vm="1183">
        <f ca="1"/>
        <v>313.5</v>
      </c>
      <c r="E206" vm="1184">
        <f ca="1"/>
        <v>302.88</v>
      </c>
      <c r="F206" vm="1185">
        <f ca="1"/>
        <v>9868151</v>
      </c>
      <c r="G206" s="2">
        <f t="shared" ca="1" si="12"/>
        <v>286.63350000000003</v>
      </c>
      <c r="H206" s="2">
        <f t="shared" ca="1" si="14"/>
        <v>267.56659999999994</v>
      </c>
      <c r="I206" s="3">
        <f t="shared" ca="1" si="15"/>
        <v>0.42352459761753192</v>
      </c>
      <c r="J206">
        <f t="shared" ca="1" si="16"/>
        <v>10.620000000000005</v>
      </c>
      <c r="K206" s="2">
        <f t="shared" ca="1" si="13"/>
        <v>8.8017149999999926</v>
      </c>
    </row>
    <row r="207" spans="1:11" x14ac:dyDescent="0.25">
      <c r="A207" vm="1186">
        <f ca="1"/>
        <v>45958</v>
      </c>
      <c r="B207" vm="1187">
        <f ca="1"/>
        <v>312.57</v>
      </c>
      <c r="C207" vm="1188">
        <f ca="1"/>
        <v>312.60000000000002</v>
      </c>
      <c r="D207" vm="1189">
        <f ca="1"/>
        <v>319.35000000000002</v>
      </c>
      <c r="E207" vm="1190">
        <f ca="1"/>
        <v>311.41000000000003</v>
      </c>
      <c r="F207" vm="1191">
        <f ca="1"/>
        <v>6044770</v>
      </c>
      <c r="G207" s="2">
        <f t="shared" ca="1" si="12"/>
        <v>288.154</v>
      </c>
      <c r="H207" s="2">
        <f t="shared" ca="1" si="14"/>
        <v>269.02899999999988</v>
      </c>
      <c r="I207" s="3">
        <f t="shared" ca="1" si="15"/>
        <v>0.4211603164499409</v>
      </c>
      <c r="J207">
        <f t="shared" ca="1" si="16"/>
        <v>7.9399999999999977</v>
      </c>
      <c r="K207" s="2">
        <f t="shared" ca="1" si="13"/>
        <v>8.9234649999999931</v>
      </c>
    </row>
    <row r="208" spans="1:11" x14ac:dyDescent="0.25">
      <c r="A208" vm="1192">
        <f ca="1"/>
        <v>45959</v>
      </c>
      <c r="B208" vm="1193">
        <f ca="1"/>
        <v>308.20999999999998</v>
      </c>
      <c r="C208" vm="1194">
        <f ca="1"/>
        <v>312.79000000000002</v>
      </c>
      <c r="D208" vm="1195">
        <f ca="1"/>
        <v>314.33</v>
      </c>
      <c r="E208" vm="1196">
        <f ca="1"/>
        <v>307.52</v>
      </c>
      <c r="F208" vm="1197">
        <f ca="1"/>
        <v>4135948</v>
      </c>
      <c r="G208" s="2">
        <f t="shared" ca="1" si="12"/>
        <v>289.24</v>
      </c>
      <c r="H208" s="2">
        <f t="shared" ca="1" si="14"/>
        <v>270.36759999999992</v>
      </c>
      <c r="I208" s="3">
        <f t="shared" ca="1" si="15"/>
        <v>0.40133672819859956</v>
      </c>
      <c r="J208">
        <f t="shared" ca="1" si="16"/>
        <v>6.8100000000000023</v>
      </c>
      <c r="K208" s="2">
        <f t="shared" ca="1" si="13"/>
        <v>8.9419649999999926</v>
      </c>
    </row>
    <row r="209" spans="1:11" x14ac:dyDescent="0.25">
      <c r="A209" vm="1198">
        <f ca="1"/>
        <v>45960</v>
      </c>
      <c r="B209" vm="1199">
        <f ca="1"/>
        <v>310.06</v>
      </c>
      <c r="C209" vm="1200">
        <f ca="1"/>
        <v>306.64999999999998</v>
      </c>
      <c r="D209" vm="1201">
        <f ca="1"/>
        <v>313.75</v>
      </c>
      <c r="E209" vm="1202">
        <f ca="1"/>
        <v>305.02</v>
      </c>
      <c r="F209" vm="1203">
        <f ca="1"/>
        <v>4694275</v>
      </c>
      <c r="G209" s="2">
        <f t="shared" ca="1" si="12"/>
        <v>290.40700000000004</v>
      </c>
      <c r="H209" s="2">
        <f t="shared" ca="1" si="14"/>
        <v>271.7177999999999</v>
      </c>
      <c r="I209" s="3">
        <f t="shared" ca="1" si="15"/>
        <v>0.4097481131217604</v>
      </c>
      <c r="J209">
        <f t="shared" ca="1" si="16"/>
        <v>8.7300000000000182</v>
      </c>
      <c r="K209" s="2">
        <f t="shared" ca="1" si="13"/>
        <v>9.0909649999999935</v>
      </c>
    </row>
    <row r="210" spans="1:11" x14ac:dyDescent="0.25">
      <c r="A210" vm="1204">
        <f ca="1"/>
        <v>45961</v>
      </c>
      <c r="B210" vm="1205">
        <f ca="1"/>
        <v>307.41000000000003</v>
      </c>
      <c r="C210" vm="1206">
        <f ca="1"/>
        <v>312</v>
      </c>
      <c r="D210" vm="1183">
        <f ca="1"/>
        <v>313.5</v>
      </c>
      <c r="E210" vm="1207">
        <f ca="1"/>
        <v>301.63</v>
      </c>
      <c r="F210" vm="1208">
        <f ca="1"/>
        <v>7697499</v>
      </c>
      <c r="G210" s="2">
        <f t="shared" ca="1" si="12"/>
        <v>291.35900000000004</v>
      </c>
      <c r="H210" s="2">
        <f t="shared" ca="1" si="14"/>
        <v>273.07799999999986</v>
      </c>
      <c r="I210" s="3">
        <f t="shared" ca="1" si="15"/>
        <v>0.39769937255615173</v>
      </c>
      <c r="J210">
        <f t="shared" ca="1" si="16"/>
        <v>11.870000000000005</v>
      </c>
      <c r="K210" s="2">
        <f t="shared" ca="1" si="13"/>
        <v>9.3834649999999957</v>
      </c>
    </row>
    <row r="211" spans="1:11" x14ac:dyDescent="0.25">
      <c r="A211" vm="1209">
        <f ca="1"/>
        <v>45964</v>
      </c>
      <c r="B211" vm="1210">
        <f ca="1"/>
        <v>304.73</v>
      </c>
      <c r="C211" vm="1211">
        <f ca="1"/>
        <v>308</v>
      </c>
      <c r="D211" vm="1212">
        <f ca="1"/>
        <v>312.14109999999999</v>
      </c>
      <c r="E211" vm="1213">
        <f ca="1"/>
        <v>304.23</v>
      </c>
      <c r="F211" vm="1214">
        <f ca="1"/>
        <v>4957958</v>
      </c>
      <c r="G211" s="2">
        <f t="shared" ca="1" si="12"/>
        <v>292.12450000000001</v>
      </c>
      <c r="H211" s="2">
        <f t="shared" ca="1" si="14"/>
        <v>274.3307999999999</v>
      </c>
      <c r="I211" s="3">
        <f t="shared" ca="1" si="15"/>
        <v>0.38551423115395123</v>
      </c>
      <c r="J211">
        <f t="shared" ca="1" si="16"/>
        <v>7.9110999999999763</v>
      </c>
      <c r="K211" s="2">
        <f t="shared" ca="1" si="13"/>
        <v>9.5965199999999946</v>
      </c>
    </row>
    <row r="212" spans="1:11" x14ac:dyDescent="0.25">
      <c r="A212" vm="1215">
        <f ca="1"/>
        <v>45965</v>
      </c>
      <c r="B212" vm="1216">
        <f ca="1"/>
        <v>300.85000000000002</v>
      </c>
      <c r="C212" vm="1217">
        <f ca="1"/>
        <v>300</v>
      </c>
      <c r="D212" vm="1218">
        <f ca="1"/>
        <v>303.17</v>
      </c>
      <c r="E212" vm="1219">
        <f ca="1"/>
        <v>296</v>
      </c>
      <c r="F212" vm="1220">
        <f ca="1"/>
        <v>5677330</v>
      </c>
      <c r="G212" s="2">
        <f t="shared" ca="1" si="12"/>
        <v>292.47350000000006</v>
      </c>
      <c r="H212" s="2">
        <f t="shared" ca="1" si="14"/>
        <v>275.55919999999986</v>
      </c>
      <c r="I212" s="3">
        <f t="shared" ca="1" si="15"/>
        <v>0.36787305628807876</v>
      </c>
      <c r="J212">
        <f t="shared" ca="1" si="16"/>
        <v>7.1700000000000159</v>
      </c>
      <c r="K212" s="2">
        <f t="shared" ca="1" si="13"/>
        <v>9.5671449999999965</v>
      </c>
    </row>
    <row r="213" spans="1:11" x14ac:dyDescent="0.25">
      <c r="A213" vm="1221">
        <f ca="1"/>
        <v>45966</v>
      </c>
      <c r="B213" vm="1222">
        <f ca="1"/>
        <v>306.77</v>
      </c>
      <c r="C213" vm="1223">
        <f ca="1"/>
        <v>301.38</v>
      </c>
      <c r="D213" vm="1224">
        <f ca="1"/>
        <v>307.2</v>
      </c>
      <c r="E213" vm="1225">
        <f ca="1"/>
        <v>299.70999999999998</v>
      </c>
      <c r="F213" vm="1226">
        <f ca="1"/>
        <v>4650368</v>
      </c>
      <c r="G213" s="2">
        <f t="shared" ca="1" si="12"/>
        <v>293.33900000000006</v>
      </c>
      <c r="H213" s="2">
        <f t="shared" ca="1" si="14"/>
        <v>276.84199999999987</v>
      </c>
      <c r="I213" s="3">
        <f t="shared" ca="1" si="15"/>
        <v>0.39478948804219316</v>
      </c>
      <c r="J213">
        <f t="shared" ca="1" si="16"/>
        <v>7.4900000000000091</v>
      </c>
      <c r="K213" s="2">
        <f t="shared" ca="1" si="13"/>
        <v>9.5552949999999974</v>
      </c>
    </row>
    <row r="214" spans="1:11" x14ac:dyDescent="0.25">
      <c r="A214" vm="1227">
        <f ca="1"/>
        <v>45967</v>
      </c>
      <c r="B214" vm="1228">
        <f ca="1"/>
        <v>312.42</v>
      </c>
      <c r="C214" vm="1229">
        <f ca="1"/>
        <v>306.75</v>
      </c>
      <c r="D214" vm="1230">
        <f ca="1"/>
        <v>315.44</v>
      </c>
      <c r="E214" vm="1231">
        <f ca="1"/>
        <v>301.08999999999997</v>
      </c>
      <c r="F214" vm="1232">
        <f ca="1"/>
        <v>6818521</v>
      </c>
      <c r="G214" s="2">
        <f t="shared" ref="G214:G216" ca="1" si="17">AVERAGE(B195:B214)</f>
        <v>294.54850000000005</v>
      </c>
      <c r="H214" s="2">
        <f t="shared" ca="1" si="14"/>
        <v>278.19359999999989</v>
      </c>
      <c r="I214" s="3">
        <f t="shared" ca="1" si="15"/>
        <v>0.42047831226698196</v>
      </c>
      <c r="J214">
        <f t="shared" ca="1" si="16"/>
        <v>14.350000000000023</v>
      </c>
      <c r="K214" s="2">
        <f t="shared" ref="K214:K216" ca="1" si="18">AVERAGE(J195:J214)</f>
        <v>9.9322949999999999</v>
      </c>
    </row>
    <row r="215" spans="1:11" x14ac:dyDescent="0.25">
      <c r="A215" vm="1233">
        <f ca="1"/>
        <v>45968</v>
      </c>
      <c r="B215" vm="1234">
        <f ca="1"/>
        <v>306.38</v>
      </c>
      <c r="C215" vm="1235">
        <f ca="1"/>
        <v>309.68</v>
      </c>
      <c r="D215" vm="1236">
        <f ca="1"/>
        <v>310</v>
      </c>
      <c r="E215" vm="1237">
        <f ca="1"/>
        <v>302.63010000000003</v>
      </c>
      <c r="F215" vm="1238">
        <f ca="1"/>
        <v>5070773</v>
      </c>
      <c r="G215" s="2">
        <f t="shared" ca="1" si="17"/>
        <v>295.9765000000001</v>
      </c>
      <c r="H215" s="2">
        <f t="shared" ca="1" si="14"/>
        <v>279.40659999999991</v>
      </c>
      <c r="I215" s="3">
        <f t="shared" ca="1" si="15"/>
        <v>0.39301627716650001</v>
      </c>
      <c r="J215">
        <f t="shared" ca="1" si="16"/>
        <v>7.3698999999999728</v>
      </c>
      <c r="K215" s="2">
        <f t="shared" ca="1" si="18"/>
        <v>9.6565399999999979</v>
      </c>
    </row>
    <row r="216" spans="1:11" x14ac:dyDescent="0.25">
      <c r="A216" vm="1239">
        <f ca="1"/>
        <v>45971</v>
      </c>
      <c r="B216" vm="1240">
        <f ca="1"/>
        <v>309.13</v>
      </c>
      <c r="C216" vm="1241">
        <f ca="1"/>
        <v>306.82</v>
      </c>
      <c r="D216" vm="1242">
        <f ca="1"/>
        <v>309.94</v>
      </c>
      <c r="E216" vm="1213">
        <f ca="1"/>
        <v>304.23</v>
      </c>
      <c r="F216" vm="1243">
        <f ca="1"/>
        <v>2975188</v>
      </c>
      <c r="G216" s="2">
        <f t="shared" ca="1" si="17"/>
        <v>297.57200000000012</v>
      </c>
      <c r="H216" s="2">
        <f t="shared" ca="1" si="14"/>
        <v>280.71939999999989</v>
      </c>
      <c r="I216" s="3">
        <f t="shared" ca="1" si="15"/>
        <v>0.40551968718741471</v>
      </c>
      <c r="J216">
        <f t="shared" ca="1" si="16"/>
        <v>5.7099999999999795</v>
      </c>
      <c r="K216" s="2">
        <f t="shared" ca="1" si="18"/>
        <v>9.5520449999999961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91A0-7DDB-4522-9121-4A8208A3F2CB}">
  <dimension ref="A1"/>
  <sheetViews>
    <sheetView topLeftCell="A29" workbookViewId="0">
      <selection activeCell="I14" sqref="I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0B80-5930-489D-BE0D-CDE8EE2D929B}">
  <dimension ref="A1:L418"/>
  <sheetViews>
    <sheetView workbookViewId="0">
      <selection activeCell="G1" activeCellId="1" sqref="A1:A1048576 G1:G1048576"/>
    </sheetView>
  </sheetViews>
  <sheetFormatPr defaultRowHeight="15" x14ac:dyDescent="0.25"/>
  <cols>
    <col min="8" max="9" width="9.140625" style="2"/>
    <col min="10" max="10" width="17.28515625" style="3" bestFit="1" customWidth="1"/>
    <col min="11" max="11" width="8.7109375" bestFit="1" customWidth="1"/>
    <col min="12" max="12" width="14.28515625" style="3" bestFit="1" customWidth="1"/>
  </cols>
  <sheetData>
    <row r="1" spans="1:12" ht="15.75" thickBot="1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76</v>
      </c>
      <c r="H1" s="5" t="s">
        <v>0</v>
      </c>
      <c r="I1" s="5" t="s">
        <v>1</v>
      </c>
      <c r="J1" s="6" t="s">
        <v>2</v>
      </c>
      <c r="K1" s="4" t="s">
        <v>3</v>
      </c>
      <c r="L1" s="4" t="s">
        <v>4</v>
      </c>
    </row>
    <row r="2" spans="1:12" ht="15.75" thickTop="1" x14ac:dyDescent="0.25">
      <c r="A2" s="1">
        <v>45659</v>
      </c>
      <c r="B2">
        <v>93.9</v>
      </c>
      <c r="C2">
        <v>93.82</v>
      </c>
      <c r="D2">
        <v>93.9</v>
      </c>
      <c r="E2">
        <v>93.52</v>
      </c>
      <c r="F2" t="s">
        <v>31</v>
      </c>
      <c r="G2" s="7">
        <v>6.9999999999999999E-4</v>
      </c>
      <c r="J2" s="3">
        <f>(B2/$B$2)-1</f>
        <v>0</v>
      </c>
      <c r="K2" s="2">
        <f>D2-E2</f>
        <v>0.38000000000000966</v>
      </c>
    </row>
    <row r="3" spans="1:12" x14ac:dyDescent="0.25">
      <c r="A3" s="1">
        <v>45660</v>
      </c>
      <c r="B3">
        <v>93.5</v>
      </c>
      <c r="C3">
        <v>93.89</v>
      </c>
      <c r="D3">
        <v>93.89</v>
      </c>
      <c r="E3">
        <v>93.15</v>
      </c>
      <c r="F3" t="s">
        <v>52</v>
      </c>
      <c r="G3" s="7">
        <v>-4.3E-3</v>
      </c>
      <c r="J3" s="3">
        <f t="shared" ref="J3:J66" si="0">(B3/$B$2)-1</f>
        <v>-4.2598509052184097E-3</v>
      </c>
      <c r="K3" s="2">
        <f t="shared" ref="K3:K66" si="1">D3-E3</f>
        <v>0.73999999999999488</v>
      </c>
    </row>
    <row r="4" spans="1:12" x14ac:dyDescent="0.25">
      <c r="A4" s="1">
        <v>45663</v>
      </c>
      <c r="B4">
        <v>93.69</v>
      </c>
      <c r="C4">
        <v>93.7</v>
      </c>
      <c r="D4">
        <v>93.7</v>
      </c>
      <c r="E4">
        <v>93.2</v>
      </c>
      <c r="F4" t="s">
        <v>67</v>
      </c>
      <c r="G4" s="7">
        <v>2E-3</v>
      </c>
      <c r="J4" s="3">
        <f t="shared" si="0"/>
        <v>-2.2364217252397456E-3</v>
      </c>
      <c r="K4" s="2">
        <f t="shared" si="1"/>
        <v>0.5</v>
      </c>
    </row>
    <row r="5" spans="1:12" x14ac:dyDescent="0.25">
      <c r="A5" s="1">
        <v>45664</v>
      </c>
      <c r="B5">
        <v>93.5</v>
      </c>
      <c r="C5">
        <v>93.35</v>
      </c>
      <c r="D5">
        <v>93.65</v>
      </c>
      <c r="E5">
        <v>93.3</v>
      </c>
      <c r="F5" t="s">
        <v>47</v>
      </c>
      <c r="G5" s="7">
        <v>-2E-3</v>
      </c>
      <c r="J5" s="3">
        <f t="shared" si="0"/>
        <v>-4.2598509052184097E-3</v>
      </c>
      <c r="K5" s="2">
        <f t="shared" si="1"/>
        <v>0.35000000000000853</v>
      </c>
    </row>
    <row r="6" spans="1:12" x14ac:dyDescent="0.25">
      <c r="A6" s="1">
        <v>45665</v>
      </c>
      <c r="B6">
        <v>93.7</v>
      </c>
      <c r="C6">
        <v>93.5</v>
      </c>
      <c r="D6">
        <v>93.7</v>
      </c>
      <c r="E6">
        <v>93.4</v>
      </c>
      <c r="F6" t="s">
        <v>77</v>
      </c>
      <c r="G6" s="7">
        <v>2.0999999999999999E-3</v>
      </c>
      <c r="J6" s="3">
        <f t="shared" si="0"/>
        <v>-2.1299254526091493E-3</v>
      </c>
      <c r="K6" s="2">
        <f t="shared" si="1"/>
        <v>0.29999999999999716</v>
      </c>
    </row>
    <row r="7" spans="1:12" x14ac:dyDescent="0.25">
      <c r="A7" s="1">
        <v>45666</v>
      </c>
      <c r="B7">
        <v>93.99</v>
      </c>
      <c r="C7">
        <v>93.4</v>
      </c>
      <c r="D7">
        <v>94</v>
      </c>
      <c r="E7">
        <v>93.4</v>
      </c>
      <c r="F7" t="s">
        <v>78</v>
      </c>
      <c r="G7" s="7">
        <v>3.0999999999999999E-3</v>
      </c>
      <c r="J7" s="3">
        <f t="shared" si="0"/>
        <v>9.5846645367392291E-4</v>
      </c>
      <c r="K7" s="2">
        <f t="shared" si="1"/>
        <v>0.59999999999999432</v>
      </c>
    </row>
    <row r="8" spans="1:12" x14ac:dyDescent="0.25">
      <c r="A8" s="1">
        <v>45667</v>
      </c>
      <c r="B8">
        <v>93.99</v>
      </c>
      <c r="C8">
        <v>93.99</v>
      </c>
      <c r="D8">
        <v>93.99</v>
      </c>
      <c r="E8">
        <v>93.7</v>
      </c>
      <c r="F8" t="s">
        <v>57</v>
      </c>
      <c r="G8" s="7">
        <v>0</v>
      </c>
      <c r="J8" s="3">
        <f t="shared" si="0"/>
        <v>9.5846645367392291E-4</v>
      </c>
      <c r="K8" s="2">
        <f t="shared" si="1"/>
        <v>0.28999999999999204</v>
      </c>
    </row>
    <row r="9" spans="1:12" x14ac:dyDescent="0.25">
      <c r="A9" s="1">
        <v>45670</v>
      </c>
      <c r="B9">
        <v>94</v>
      </c>
      <c r="C9">
        <v>93.99</v>
      </c>
      <c r="D9">
        <v>94.49</v>
      </c>
      <c r="E9">
        <v>93.7</v>
      </c>
      <c r="F9" t="s">
        <v>79</v>
      </c>
      <c r="G9" s="7">
        <v>1E-4</v>
      </c>
      <c r="J9" s="3">
        <f t="shared" si="0"/>
        <v>1.0649627263044081E-3</v>
      </c>
      <c r="K9" s="2">
        <f t="shared" si="1"/>
        <v>0.78999999999999204</v>
      </c>
    </row>
    <row r="10" spans="1:12" x14ac:dyDescent="0.25">
      <c r="A10" s="1">
        <v>45671</v>
      </c>
      <c r="B10">
        <v>94.99</v>
      </c>
      <c r="C10">
        <v>93.81</v>
      </c>
      <c r="D10">
        <v>95.9</v>
      </c>
      <c r="E10">
        <v>93.81</v>
      </c>
      <c r="F10" t="s">
        <v>66</v>
      </c>
      <c r="G10" s="7">
        <v>1.0500000000000001E-2</v>
      </c>
      <c r="J10" s="3">
        <f t="shared" si="0"/>
        <v>1.1608093716719781E-2</v>
      </c>
      <c r="K10" s="2">
        <f t="shared" si="1"/>
        <v>2.0900000000000034</v>
      </c>
    </row>
    <row r="11" spans="1:12" x14ac:dyDescent="0.25">
      <c r="A11" s="1">
        <v>45672</v>
      </c>
      <c r="B11">
        <v>97</v>
      </c>
      <c r="C11">
        <v>94.98</v>
      </c>
      <c r="D11">
        <v>97</v>
      </c>
      <c r="E11">
        <v>94.2</v>
      </c>
      <c r="F11" t="s">
        <v>64</v>
      </c>
      <c r="G11" s="7">
        <v>2.12E-2</v>
      </c>
      <c r="J11" s="3">
        <f t="shared" si="0"/>
        <v>3.3013844515441981E-2</v>
      </c>
      <c r="K11" s="2">
        <f t="shared" si="1"/>
        <v>2.7999999999999972</v>
      </c>
    </row>
    <row r="12" spans="1:12" x14ac:dyDescent="0.25">
      <c r="A12" s="1">
        <v>45673</v>
      </c>
      <c r="B12">
        <v>96.85</v>
      </c>
      <c r="C12">
        <v>95.6</v>
      </c>
      <c r="D12">
        <v>97</v>
      </c>
      <c r="E12">
        <v>95.05</v>
      </c>
      <c r="F12" t="s">
        <v>80</v>
      </c>
      <c r="G12" s="7">
        <v>-1.5E-3</v>
      </c>
      <c r="J12" s="3">
        <f t="shared" si="0"/>
        <v>3.1416400425984925E-2</v>
      </c>
      <c r="K12" s="2">
        <f t="shared" si="1"/>
        <v>1.9500000000000028</v>
      </c>
    </row>
    <row r="13" spans="1:12" x14ac:dyDescent="0.25">
      <c r="A13" s="1">
        <v>45674</v>
      </c>
      <c r="B13">
        <v>96.5</v>
      </c>
      <c r="C13">
        <v>96.85</v>
      </c>
      <c r="D13">
        <v>96.85</v>
      </c>
      <c r="E13">
        <v>95.37</v>
      </c>
      <c r="F13" t="s">
        <v>18</v>
      </c>
      <c r="G13" s="7">
        <v>-3.5999999999999999E-3</v>
      </c>
      <c r="J13" s="3">
        <f t="shared" si="0"/>
        <v>2.7689030883919052E-2</v>
      </c>
      <c r="K13" s="2">
        <f t="shared" si="1"/>
        <v>1.4799999999999898</v>
      </c>
    </row>
    <row r="14" spans="1:12" x14ac:dyDescent="0.25">
      <c r="A14" s="1">
        <v>45677</v>
      </c>
      <c r="B14">
        <v>96.5</v>
      </c>
      <c r="C14">
        <v>96</v>
      </c>
      <c r="D14">
        <v>96.5</v>
      </c>
      <c r="E14">
        <v>95.4</v>
      </c>
      <c r="F14" t="s">
        <v>81</v>
      </c>
      <c r="G14" s="7">
        <v>0</v>
      </c>
      <c r="J14" s="3">
        <f t="shared" si="0"/>
        <v>2.7689030883919052E-2</v>
      </c>
      <c r="K14" s="2">
        <f t="shared" si="1"/>
        <v>1.0999999999999943</v>
      </c>
    </row>
    <row r="15" spans="1:12" x14ac:dyDescent="0.25">
      <c r="A15" s="1">
        <v>45678</v>
      </c>
      <c r="B15">
        <v>97</v>
      </c>
      <c r="C15">
        <v>95.61</v>
      </c>
      <c r="D15">
        <v>97</v>
      </c>
      <c r="E15">
        <v>95.61</v>
      </c>
      <c r="F15" t="s">
        <v>75</v>
      </c>
      <c r="G15" s="7">
        <v>5.1999999999999998E-3</v>
      </c>
      <c r="J15" s="3">
        <f t="shared" si="0"/>
        <v>3.3013844515441981E-2</v>
      </c>
      <c r="K15" s="2">
        <f t="shared" si="1"/>
        <v>1.3900000000000006</v>
      </c>
    </row>
    <row r="16" spans="1:12" x14ac:dyDescent="0.25">
      <c r="A16" s="1">
        <v>45679</v>
      </c>
      <c r="B16">
        <v>96.8</v>
      </c>
      <c r="C16">
        <v>97</v>
      </c>
      <c r="D16">
        <v>97.2</v>
      </c>
      <c r="E16">
        <v>96.55</v>
      </c>
      <c r="F16" t="s">
        <v>53</v>
      </c>
      <c r="G16" s="7">
        <v>-2.0999999999999999E-3</v>
      </c>
      <c r="J16" s="3">
        <f t="shared" si="0"/>
        <v>3.0883919062832721E-2</v>
      </c>
      <c r="K16" s="2">
        <f t="shared" si="1"/>
        <v>0.65000000000000568</v>
      </c>
    </row>
    <row r="17" spans="1:12" x14ac:dyDescent="0.25">
      <c r="A17" s="1">
        <v>45680</v>
      </c>
      <c r="B17">
        <v>98.4</v>
      </c>
      <c r="C17">
        <v>97</v>
      </c>
      <c r="D17">
        <v>98.45</v>
      </c>
      <c r="E17">
        <v>96.7</v>
      </c>
      <c r="F17" t="s">
        <v>82</v>
      </c>
      <c r="G17" s="7">
        <v>1.6500000000000001E-2</v>
      </c>
      <c r="J17" s="3">
        <f t="shared" si="0"/>
        <v>4.7923322683706138E-2</v>
      </c>
      <c r="K17" s="2">
        <f t="shared" si="1"/>
        <v>1.75</v>
      </c>
    </row>
    <row r="18" spans="1:12" x14ac:dyDescent="0.25">
      <c r="A18" s="1">
        <v>45681</v>
      </c>
      <c r="B18">
        <v>98.9</v>
      </c>
      <c r="C18">
        <v>98</v>
      </c>
      <c r="D18">
        <v>99.5</v>
      </c>
      <c r="E18">
        <v>96.8</v>
      </c>
      <c r="F18" t="s">
        <v>83</v>
      </c>
      <c r="G18" s="7">
        <v>5.1000000000000004E-3</v>
      </c>
      <c r="J18" s="3">
        <f t="shared" si="0"/>
        <v>5.3248136315229067E-2</v>
      </c>
      <c r="K18" s="2">
        <f t="shared" si="1"/>
        <v>2.7000000000000028</v>
      </c>
    </row>
    <row r="19" spans="1:12" x14ac:dyDescent="0.25">
      <c r="A19" s="1">
        <v>45684</v>
      </c>
      <c r="B19">
        <v>98</v>
      </c>
      <c r="C19">
        <v>98.9</v>
      </c>
      <c r="D19">
        <v>98.9</v>
      </c>
      <c r="E19">
        <v>97.5</v>
      </c>
      <c r="F19" t="s">
        <v>84</v>
      </c>
      <c r="G19" s="7">
        <v>-9.1000000000000004E-3</v>
      </c>
      <c r="J19" s="3">
        <f t="shared" si="0"/>
        <v>4.3663471778487617E-2</v>
      </c>
      <c r="K19" s="2">
        <f t="shared" si="1"/>
        <v>1.4000000000000057</v>
      </c>
    </row>
    <row r="20" spans="1:12" x14ac:dyDescent="0.25">
      <c r="A20" s="1">
        <v>45685</v>
      </c>
      <c r="B20">
        <v>97.8</v>
      </c>
      <c r="C20">
        <v>97.54</v>
      </c>
      <c r="D20">
        <v>98.15</v>
      </c>
      <c r="E20">
        <v>97</v>
      </c>
      <c r="F20" t="s">
        <v>45</v>
      </c>
      <c r="G20" s="7">
        <v>-2E-3</v>
      </c>
      <c r="J20" s="3">
        <f t="shared" si="0"/>
        <v>4.1533546325878579E-2</v>
      </c>
      <c r="K20" s="2">
        <f t="shared" si="1"/>
        <v>1.1500000000000057</v>
      </c>
    </row>
    <row r="21" spans="1:12" x14ac:dyDescent="0.25">
      <c r="A21" s="1">
        <v>45686</v>
      </c>
      <c r="B21">
        <v>97.4</v>
      </c>
      <c r="C21">
        <v>97.8</v>
      </c>
      <c r="D21">
        <v>97.8</v>
      </c>
      <c r="E21">
        <v>96.8</v>
      </c>
      <c r="F21" t="s">
        <v>85</v>
      </c>
      <c r="G21" s="7">
        <v>-4.1000000000000003E-3</v>
      </c>
      <c r="H21" s="2">
        <f>AVERAGE(B2:B21)</f>
        <v>95.82050000000001</v>
      </c>
      <c r="J21" s="3">
        <f t="shared" si="0"/>
        <v>3.727369542066028E-2</v>
      </c>
      <c r="K21" s="2">
        <f t="shared" si="1"/>
        <v>1</v>
      </c>
      <c r="L21" s="2">
        <f>AVERAGE(K2:K21)</f>
        <v>1.1704999999999999</v>
      </c>
    </row>
    <row r="22" spans="1:12" x14ac:dyDescent="0.25">
      <c r="A22" s="1">
        <v>45687</v>
      </c>
      <c r="B22">
        <v>97.7</v>
      </c>
      <c r="C22">
        <v>97.6</v>
      </c>
      <c r="D22">
        <v>97.8</v>
      </c>
      <c r="E22">
        <v>97</v>
      </c>
      <c r="F22" t="s">
        <v>86</v>
      </c>
      <c r="G22" s="7">
        <v>3.0999999999999999E-3</v>
      </c>
      <c r="H22" s="2">
        <f t="shared" ref="H22:H85" si="2">AVERAGE(B3:B22)</f>
        <v>96.010500000000008</v>
      </c>
      <c r="J22" s="3">
        <f t="shared" si="0"/>
        <v>4.0468583599573948E-2</v>
      </c>
      <c r="K22" s="2">
        <f t="shared" si="1"/>
        <v>0.79999999999999716</v>
      </c>
      <c r="L22" s="2">
        <f t="shared" ref="L22:L85" si="3">AVERAGE(K3:K22)</f>
        <v>1.1914999999999991</v>
      </c>
    </row>
    <row r="23" spans="1:12" x14ac:dyDescent="0.25">
      <c r="A23" s="1">
        <v>45688</v>
      </c>
      <c r="B23">
        <v>97</v>
      </c>
      <c r="C23">
        <v>97</v>
      </c>
      <c r="D23">
        <v>97.5</v>
      </c>
      <c r="E23">
        <v>97</v>
      </c>
      <c r="F23" t="s">
        <v>27</v>
      </c>
      <c r="G23" s="7">
        <v>-7.1999999999999998E-3</v>
      </c>
      <c r="H23" s="2">
        <f t="shared" si="2"/>
        <v>96.185500000000019</v>
      </c>
      <c r="J23" s="3">
        <f t="shared" si="0"/>
        <v>3.3013844515441981E-2</v>
      </c>
      <c r="K23" s="2">
        <f t="shared" si="1"/>
        <v>0.5</v>
      </c>
      <c r="L23" s="2">
        <f t="shared" si="3"/>
        <v>1.1794999999999995</v>
      </c>
    </row>
    <row r="24" spans="1:12" x14ac:dyDescent="0.25">
      <c r="A24" s="1">
        <v>45691</v>
      </c>
      <c r="B24">
        <v>97</v>
      </c>
      <c r="C24">
        <v>97</v>
      </c>
      <c r="D24">
        <v>97.5</v>
      </c>
      <c r="E24">
        <v>96.62</v>
      </c>
      <c r="F24" t="s">
        <v>87</v>
      </c>
      <c r="G24" s="7">
        <v>0</v>
      </c>
      <c r="H24" s="2">
        <f t="shared" si="2"/>
        <v>96.351000000000013</v>
      </c>
      <c r="J24" s="3">
        <f t="shared" si="0"/>
        <v>3.3013844515441981E-2</v>
      </c>
      <c r="K24" s="2">
        <f t="shared" si="1"/>
        <v>0.87999999999999545</v>
      </c>
      <c r="L24" s="2">
        <f t="shared" si="3"/>
        <v>1.1984999999999992</v>
      </c>
    </row>
    <row r="25" spans="1:12" x14ac:dyDescent="0.25">
      <c r="A25" s="1">
        <v>45692</v>
      </c>
      <c r="B25">
        <v>96.98</v>
      </c>
      <c r="C25">
        <v>96.5</v>
      </c>
      <c r="D25">
        <v>96.98</v>
      </c>
      <c r="E25">
        <v>96</v>
      </c>
      <c r="F25" t="s">
        <v>80</v>
      </c>
      <c r="G25" s="7">
        <v>-2.0000000000000001E-4</v>
      </c>
      <c r="H25" s="2">
        <f t="shared" si="2"/>
        <v>96.52500000000002</v>
      </c>
      <c r="J25" s="3">
        <f t="shared" si="0"/>
        <v>3.2800851970181011E-2</v>
      </c>
      <c r="K25" s="2">
        <f t="shared" si="1"/>
        <v>0.98000000000000398</v>
      </c>
      <c r="L25" s="2">
        <f t="shared" si="3"/>
        <v>1.2299999999999991</v>
      </c>
    </row>
    <row r="26" spans="1:12" x14ac:dyDescent="0.25">
      <c r="A26" s="1">
        <v>45693</v>
      </c>
      <c r="B26">
        <v>96.9</v>
      </c>
      <c r="C26">
        <v>96.95</v>
      </c>
      <c r="D26">
        <v>96.95</v>
      </c>
      <c r="E26">
        <v>96.2</v>
      </c>
      <c r="F26" t="s">
        <v>14</v>
      </c>
      <c r="G26" s="7">
        <v>-8.0000000000000004E-4</v>
      </c>
      <c r="H26" s="2">
        <f t="shared" si="2"/>
        <v>96.685000000000016</v>
      </c>
      <c r="J26" s="3">
        <f t="shared" si="0"/>
        <v>3.1948881789137351E-2</v>
      </c>
      <c r="K26" s="2">
        <f t="shared" si="1"/>
        <v>0.75</v>
      </c>
      <c r="L26" s="2">
        <f t="shared" si="3"/>
        <v>1.2524999999999991</v>
      </c>
    </row>
    <row r="27" spans="1:12" x14ac:dyDescent="0.25">
      <c r="A27" s="1">
        <v>45694</v>
      </c>
      <c r="B27">
        <v>96.45</v>
      </c>
      <c r="C27">
        <v>96.95</v>
      </c>
      <c r="D27">
        <v>96.95</v>
      </c>
      <c r="E27">
        <v>96.2</v>
      </c>
      <c r="F27" t="s">
        <v>88</v>
      </c>
      <c r="G27" s="7">
        <v>-4.5999999999999999E-3</v>
      </c>
      <c r="H27" s="2">
        <f t="shared" si="2"/>
        <v>96.808000000000021</v>
      </c>
      <c r="J27" s="3">
        <f t="shared" si="0"/>
        <v>2.7156549520766848E-2</v>
      </c>
      <c r="K27" s="2">
        <f t="shared" si="1"/>
        <v>0.75</v>
      </c>
      <c r="L27" s="2">
        <f t="shared" si="3"/>
        <v>1.2599999999999993</v>
      </c>
    </row>
    <row r="28" spans="1:12" x14ac:dyDescent="0.25">
      <c r="A28" s="1">
        <v>45695</v>
      </c>
      <c r="B28">
        <v>96.99</v>
      </c>
      <c r="C28">
        <v>96.44</v>
      </c>
      <c r="D28">
        <v>96.99</v>
      </c>
      <c r="E28">
        <v>96.2</v>
      </c>
      <c r="F28" t="s">
        <v>89</v>
      </c>
      <c r="G28" s="7">
        <v>5.5999999999999999E-3</v>
      </c>
      <c r="H28" s="2">
        <f t="shared" si="2"/>
        <v>96.958000000000013</v>
      </c>
      <c r="J28" s="3">
        <f t="shared" si="0"/>
        <v>3.2907348242811274E-2</v>
      </c>
      <c r="K28" s="2">
        <f t="shared" si="1"/>
        <v>0.78999999999999204</v>
      </c>
      <c r="L28" s="2">
        <f t="shared" si="3"/>
        <v>1.2849999999999995</v>
      </c>
    </row>
    <row r="29" spans="1:12" x14ac:dyDescent="0.25">
      <c r="A29" s="1">
        <v>45698</v>
      </c>
      <c r="B29">
        <v>97.4</v>
      </c>
      <c r="C29">
        <v>96.9</v>
      </c>
      <c r="D29">
        <v>97.5</v>
      </c>
      <c r="E29">
        <v>96.89</v>
      </c>
      <c r="F29" t="s">
        <v>90</v>
      </c>
      <c r="G29" s="7">
        <v>4.1999999999999997E-3</v>
      </c>
      <c r="H29" s="2">
        <f t="shared" si="2"/>
        <v>97.128000000000014</v>
      </c>
      <c r="J29" s="3">
        <f t="shared" si="0"/>
        <v>3.727369542066028E-2</v>
      </c>
      <c r="K29" s="2">
        <f t="shared" si="1"/>
        <v>0.60999999999999943</v>
      </c>
      <c r="L29" s="2">
        <f t="shared" si="3"/>
        <v>1.2759999999999998</v>
      </c>
    </row>
    <row r="30" spans="1:12" x14ac:dyDescent="0.25">
      <c r="A30" s="1">
        <v>45699</v>
      </c>
      <c r="B30">
        <v>97.03</v>
      </c>
      <c r="C30">
        <v>97.48</v>
      </c>
      <c r="D30">
        <v>97.48</v>
      </c>
      <c r="E30">
        <v>96.91</v>
      </c>
      <c r="F30" t="s">
        <v>67</v>
      </c>
      <c r="G30" s="7">
        <v>-3.8E-3</v>
      </c>
      <c r="H30" s="2">
        <f t="shared" si="2"/>
        <v>97.23</v>
      </c>
      <c r="J30" s="3">
        <f t="shared" si="0"/>
        <v>3.3333333333333215E-2</v>
      </c>
      <c r="K30" s="2">
        <f t="shared" si="1"/>
        <v>0.57000000000000739</v>
      </c>
      <c r="L30" s="2">
        <f t="shared" si="3"/>
        <v>1.2</v>
      </c>
    </row>
    <row r="31" spans="1:12" x14ac:dyDescent="0.25">
      <c r="A31" s="1">
        <v>45700</v>
      </c>
      <c r="B31">
        <v>97.15</v>
      </c>
      <c r="C31">
        <v>97</v>
      </c>
      <c r="D31">
        <v>97.4</v>
      </c>
      <c r="E31">
        <v>97</v>
      </c>
      <c r="F31" t="s">
        <v>45</v>
      </c>
      <c r="G31" s="7">
        <v>1.1999999999999999E-3</v>
      </c>
      <c r="H31" s="2">
        <f t="shared" si="2"/>
        <v>97.237500000000011</v>
      </c>
      <c r="J31" s="3">
        <f t="shared" si="0"/>
        <v>3.4611288604898816E-2</v>
      </c>
      <c r="K31" s="2">
        <f t="shared" si="1"/>
        <v>0.40000000000000568</v>
      </c>
      <c r="L31" s="2">
        <f t="shared" si="3"/>
        <v>1.0800000000000005</v>
      </c>
    </row>
    <row r="32" spans="1:12" x14ac:dyDescent="0.25">
      <c r="A32" s="1">
        <v>45701</v>
      </c>
      <c r="B32">
        <v>97.4</v>
      </c>
      <c r="C32">
        <v>97.1</v>
      </c>
      <c r="D32">
        <v>97.4</v>
      </c>
      <c r="E32">
        <v>97</v>
      </c>
      <c r="F32" t="s">
        <v>24</v>
      </c>
      <c r="G32" s="7">
        <v>2.5999999999999999E-3</v>
      </c>
      <c r="H32" s="2">
        <f t="shared" si="2"/>
        <v>97.265000000000015</v>
      </c>
      <c r="J32" s="3">
        <f t="shared" si="0"/>
        <v>3.727369542066028E-2</v>
      </c>
      <c r="K32" s="2">
        <f t="shared" si="1"/>
        <v>0.40000000000000568</v>
      </c>
      <c r="L32" s="2">
        <f t="shared" si="3"/>
        <v>1.0025000000000006</v>
      </c>
    </row>
    <row r="33" spans="1:12" x14ac:dyDescent="0.25">
      <c r="A33" s="1">
        <v>45702</v>
      </c>
      <c r="B33">
        <v>97.5</v>
      </c>
      <c r="C33">
        <v>97.35</v>
      </c>
      <c r="D33">
        <v>98</v>
      </c>
      <c r="E33">
        <v>97</v>
      </c>
      <c r="F33" t="s">
        <v>91</v>
      </c>
      <c r="G33" s="7">
        <v>1E-3</v>
      </c>
      <c r="H33" s="2">
        <f t="shared" si="2"/>
        <v>97.315000000000026</v>
      </c>
      <c r="J33" s="3">
        <f t="shared" si="0"/>
        <v>3.8338658146964688E-2</v>
      </c>
      <c r="K33" s="2">
        <f t="shared" si="1"/>
        <v>1</v>
      </c>
      <c r="L33" s="2">
        <f t="shared" si="3"/>
        <v>0.97850000000000104</v>
      </c>
    </row>
    <row r="34" spans="1:12" x14ac:dyDescent="0.25">
      <c r="A34" s="1">
        <v>45705</v>
      </c>
      <c r="B34">
        <v>97.5</v>
      </c>
      <c r="C34">
        <v>97.7</v>
      </c>
      <c r="D34">
        <v>97.7</v>
      </c>
      <c r="E34">
        <v>97.12</v>
      </c>
      <c r="F34" t="s">
        <v>92</v>
      </c>
      <c r="G34" s="7">
        <v>0</v>
      </c>
      <c r="H34" s="2">
        <f t="shared" si="2"/>
        <v>97.365000000000023</v>
      </c>
      <c r="J34" s="3">
        <f t="shared" si="0"/>
        <v>3.8338658146964688E-2</v>
      </c>
      <c r="K34" s="2">
        <f t="shared" si="1"/>
        <v>0.57999999999999829</v>
      </c>
      <c r="L34" s="2">
        <f t="shared" si="3"/>
        <v>0.95250000000000123</v>
      </c>
    </row>
    <row r="35" spans="1:12" x14ac:dyDescent="0.25">
      <c r="A35" s="1">
        <v>45706</v>
      </c>
      <c r="B35">
        <v>98.5</v>
      </c>
      <c r="C35">
        <v>97.5</v>
      </c>
      <c r="D35">
        <v>98.5</v>
      </c>
      <c r="E35">
        <v>97.16</v>
      </c>
      <c r="F35" t="s">
        <v>93</v>
      </c>
      <c r="G35" s="7">
        <v>1.03E-2</v>
      </c>
      <c r="H35" s="2">
        <f t="shared" si="2"/>
        <v>97.440000000000026</v>
      </c>
      <c r="J35" s="3">
        <f t="shared" si="0"/>
        <v>4.8988285410010546E-2</v>
      </c>
      <c r="K35" s="2">
        <f t="shared" si="1"/>
        <v>1.3400000000000034</v>
      </c>
      <c r="L35" s="2">
        <f t="shared" si="3"/>
        <v>0.9500000000000014</v>
      </c>
    </row>
    <row r="36" spans="1:12" x14ac:dyDescent="0.25">
      <c r="A36" s="1">
        <v>45707</v>
      </c>
      <c r="B36">
        <v>98.89</v>
      </c>
      <c r="C36">
        <v>98</v>
      </c>
      <c r="D36">
        <v>98.99</v>
      </c>
      <c r="E36">
        <v>97.65</v>
      </c>
      <c r="F36" t="s">
        <v>94</v>
      </c>
      <c r="G36" s="7">
        <v>4.0000000000000001E-3</v>
      </c>
      <c r="H36" s="2">
        <f t="shared" si="2"/>
        <v>97.544500000000014</v>
      </c>
      <c r="J36" s="3">
        <f t="shared" si="0"/>
        <v>5.3141640042598359E-2</v>
      </c>
      <c r="K36" s="2">
        <f t="shared" si="1"/>
        <v>1.3399999999999892</v>
      </c>
      <c r="L36" s="2">
        <f t="shared" si="3"/>
        <v>0.9845000000000006</v>
      </c>
    </row>
    <row r="37" spans="1:12" x14ac:dyDescent="0.25">
      <c r="A37" s="1">
        <v>45708</v>
      </c>
      <c r="B37">
        <v>98.9</v>
      </c>
      <c r="C37">
        <v>98.9</v>
      </c>
      <c r="D37">
        <v>98.9</v>
      </c>
      <c r="E37">
        <v>98.25</v>
      </c>
      <c r="F37" t="s">
        <v>95</v>
      </c>
      <c r="G37" s="7">
        <v>1E-4</v>
      </c>
      <c r="H37" s="2">
        <f t="shared" si="2"/>
        <v>97.569500000000019</v>
      </c>
      <c r="J37" s="3">
        <f t="shared" si="0"/>
        <v>5.3248136315229067E-2</v>
      </c>
      <c r="K37" s="2">
        <f t="shared" si="1"/>
        <v>0.65000000000000568</v>
      </c>
      <c r="L37" s="2">
        <f t="shared" si="3"/>
        <v>0.92950000000000088</v>
      </c>
    </row>
    <row r="38" spans="1:12" x14ac:dyDescent="0.25">
      <c r="A38" s="1">
        <v>45709</v>
      </c>
      <c r="B38">
        <v>99.5</v>
      </c>
      <c r="C38">
        <v>98.5</v>
      </c>
      <c r="D38">
        <v>99.9</v>
      </c>
      <c r="E38">
        <v>98.5</v>
      </c>
      <c r="F38" t="s">
        <v>96</v>
      </c>
      <c r="G38" s="7">
        <v>6.1000000000000004E-3</v>
      </c>
      <c r="H38" s="2">
        <f t="shared" si="2"/>
        <v>97.59950000000002</v>
      </c>
      <c r="J38" s="3">
        <f t="shared" si="0"/>
        <v>5.9637912673056404E-2</v>
      </c>
      <c r="K38" s="2">
        <f t="shared" si="1"/>
        <v>1.4000000000000057</v>
      </c>
      <c r="L38" s="2">
        <f t="shared" si="3"/>
        <v>0.86450000000000105</v>
      </c>
    </row>
    <row r="39" spans="1:12" x14ac:dyDescent="0.25">
      <c r="A39" s="1">
        <v>45712</v>
      </c>
      <c r="B39">
        <v>99</v>
      </c>
      <c r="C39">
        <v>99.5</v>
      </c>
      <c r="D39">
        <v>99.5</v>
      </c>
      <c r="E39">
        <v>98.63</v>
      </c>
      <c r="F39" t="s">
        <v>97</v>
      </c>
      <c r="G39" s="7">
        <v>-5.0000000000000001E-3</v>
      </c>
      <c r="H39" s="2">
        <f t="shared" si="2"/>
        <v>97.649500000000018</v>
      </c>
      <c r="J39" s="3">
        <f t="shared" si="0"/>
        <v>5.4313099041533475E-2</v>
      </c>
      <c r="K39" s="2">
        <f t="shared" si="1"/>
        <v>0.87000000000000455</v>
      </c>
      <c r="L39" s="2">
        <f t="shared" si="3"/>
        <v>0.83800000000000097</v>
      </c>
    </row>
    <row r="40" spans="1:12" x14ac:dyDescent="0.25">
      <c r="A40" s="1">
        <v>45713</v>
      </c>
      <c r="B40">
        <v>98.71</v>
      </c>
      <c r="C40">
        <v>99</v>
      </c>
      <c r="D40">
        <v>99.4</v>
      </c>
      <c r="E40">
        <v>98.68</v>
      </c>
      <c r="F40" t="s">
        <v>74</v>
      </c>
      <c r="G40" s="7">
        <v>-2.8999999999999998E-3</v>
      </c>
      <c r="H40" s="2">
        <f t="shared" si="2"/>
        <v>97.695000000000022</v>
      </c>
      <c r="J40" s="3">
        <f t="shared" si="0"/>
        <v>5.1224707135250069E-2</v>
      </c>
      <c r="K40" s="2">
        <f t="shared" si="1"/>
        <v>0.71999999999999886</v>
      </c>
      <c r="L40" s="2">
        <f t="shared" si="3"/>
        <v>0.81650000000000067</v>
      </c>
    </row>
    <row r="41" spans="1:12" x14ac:dyDescent="0.25">
      <c r="A41" s="1">
        <v>45714</v>
      </c>
      <c r="B41">
        <v>98.9</v>
      </c>
      <c r="C41">
        <v>99.35</v>
      </c>
      <c r="D41">
        <v>99.35</v>
      </c>
      <c r="E41">
        <v>98.8</v>
      </c>
      <c r="F41" t="s">
        <v>98</v>
      </c>
      <c r="G41" s="7">
        <v>1.9E-3</v>
      </c>
      <c r="H41" s="2">
        <f t="shared" si="2"/>
        <v>97.77000000000001</v>
      </c>
      <c r="J41" s="3">
        <f t="shared" si="0"/>
        <v>5.3248136315229067E-2</v>
      </c>
      <c r="K41" s="2">
        <f t="shared" si="1"/>
        <v>0.54999999999999716</v>
      </c>
      <c r="L41" s="2">
        <f t="shared" si="3"/>
        <v>0.79400000000000048</v>
      </c>
    </row>
    <row r="42" spans="1:12" x14ac:dyDescent="0.25">
      <c r="A42" s="1">
        <v>45715</v>
      </c>
      <c r="B42">
        <v>99.7</v>
      </c>
      <c r="C42">
        <v>98.9</v>
      </c>
      <c r="D42">
        <v>99.9</v>
      </c>
      <c r="E42">
        <v>98.8</v>
      </c>
      <c r="F42" t="s">
        <v>99</v>
      </c>
      <c r="G42" s="7">
        <v>8.0999999999999996E-3</v>
      </c>
      <c r="H42" s="2">
        <f t="shared" si="2"/>
        <v>97.87</v>
      </c>
      <c r="J42" s="3">
        <f t="shared" si="0"/>
        <v>6.1767838125665664E-2</v>
      </c>
      <c r="K42" s="2">
        <f t="shared" si="1"/>
        <v>1.1000000000000085</v>
      </c>
      <c r="L42" s="2">
        <f t="shared" si="3"/>
        <v>0.80900000000000105</v>
      </c>
    </row>
    <row r="43" spans="1:12" x14ac:dyDescent="0.25">
      <c r="A43" s="1">
        <v>45716</v>
      </c>
      <c r="B43">
        <v>99.9</v>
      </c>
      <c r="C43">
        <v>100</v>
      </c>
      <c r="D43">
        <v>100</v>
      </c>
      <c r="E43">
        <v>99.9</v>
      </c>
      <c r="F43" t="s">
        <v>100</v>
      </c>
      <c r="G43" s="7">
        <v>2E-3</v>
      </c>
      <c r="H43" s="2">
        <f t="shared" si="2"/>
        <v>98.015000000000015</v>
      </c>
      <c r="J43" s="3">
        <f t="shared" si="0"/>
        <v>6.3897763578274702E-2</v>
      </c>
      <c r="K43" s="2">
        <f t="shared" si="1"/>
        <v>9.9999999999994316E-2</v>
      </c>
      <c r="L43" s="2">
        <f t="shared" si="3"/>
        <v>0.78900000000000081</v>
      </c>
    </row>
    <row r="44" spans="1:12" x14ac:dyDescent="0.25">
      <c r="A44" s="1">
        <v>45719</v>
      </c>
      <c r="B44">
        <v>101</v>
      </c>
      <c r="C44">
        <v>101.8</v>
      </c>
      <c r="D44">
        <v>101.8</v>
      </c>
      <c r="E44">
        <v>99.7</v>
      </c>
      <c r="F44" t="s">
        <v>55</v>
      </c>
      <c r="G44" s="7">
        <v>1.0999999999999999E-2</v>
      </c>
      <c r="H44" s="2">
        <f t="shared" si="2"/>
        <v>98.215000000000018</v>
      </c>
      <c r="J44" s="3">
        <f t="shared" si="0"/>
        <v>7.5612353567624968E-2</v>
      </c>
      <c r="K44" s="2">
        <f t="shared" si="1"/>
        <v>2.0999999999999943</v>
      </c>
      <c r="L44" s="2">
        <f t="shared" si="3"/>
        <v>0.85000000000000075</v>
      </c>
    </row>
    <row r="45" spans="1:12" x14ac:dyDescent="0.25">
      <c r="A45" s="1">
        <v>45720</v>
      </c>
      <c r="B45">
        <v>103.5</v>
      </c>
      <c r="C45">
        <v>101</v>
      </c>
      <c r="D45">
        <v>103.5</v>
      </c>
      <c r="E45">
        <v>101</v>
      </c>
      <c r="F45" t="s">
        <v>101</v>
      </c>
      <c r="G45" s="7">
        <v>2.4799999999999999E-2</v>
      </c>
      <c r="H45" s="2">
        <f t="shared" si="2"/>
        <v>98.541000000000025</v>
      </c>
      <c r="J45" s="3">
        <f t="shared" si="0"/>
        <v>0.10223642172523961</v>
      </c>
      <c r="K45" s="2">
        <f t="shared" si="1"/>
        <v>2.5</v>
      </c>
      <c r="L45" s="2">
        <f t="shared" si="3"/>
        <v>0.92600000000000049</v>
      </c>
    </row>
    <row r="46" spans="1:12" x14ac:dyDescent="0.25">
      <c r="A46" s="1">
        <v>45721</v>
      </c>
      <c r="B46">
        <v>103</v>
      </c>
      <c r="C46">
        <v>103</v>
      </c>
      <c r="D46">
        <v>103.5</v>
      </c>
      <c r="E46">
        <v>102.5</v>
      </c>
      <c r="F46" t="s">
        <v>102</v>
      </c>
      <c r="G46" s="7">
        <v>-4.7999999999999996E-3</v>
      </c>
      <c r="H46" s="2">
        <f t="shared" si="2"/>
        <v>98.846000000000018</v>
      </c>
      <c r="J46" s="3">
        <f t="shared" si="0"/>
        <v>9.6911608093716683E-2</v>
      </c>
      <c r="K46" s="2">
        <f t="shared" si="1"/>
        <v>1</v>
      </c>
      <c r="L46" s="2">
        <f t="shared" si="3"/>
        <v>0.93850000000000056</v>
      </c>
    </row>
    <row r="47" spans="1:12" x14ac:dyDescent="0.25">
      <c r="A47" s="1">
        <v>45722</v>
      </c>
      <c r="B47">
        <v>103.25</v>
      </c>
      <c r="C47">
        <v>103</v>
      </c>
      <c r="D47">
        <v>103.49</v>
      </c>
      <c r="E47">
        <v>102.65</v>
      </c>
      <c r="F47" t="s">
        <v>103</v>
      </c>
      <c r="G47" s="7">
        <v>2.3999999999999998E-3</v>
      </c>
      <c r="H47" s="2">
        <f t="shared" si="2"/>
        <v>99.186000000000007</v>
      </c>
      <c r="J47" s="3">
        <f t="shared" si="0"/>
        <v>9.9574014909478148E-2</v>
      </c>
      <c r="K47" s="2">
        <f t="shared" si="1"/>
        <v>0.8399999999999892</v>
      </c>
      <c r="L47" s="2">
        <f t="shared" si="3"/>
        <v>0.94299999999999995</v>
      </c>
    </row>
    <row r="48" spans="1:12" x14ac:dyDescent="0.25">
      <c r="A48" s="1">
        <v>45723</v>
      </c>
      <c r="B48">
        <v>101</v>
      </c>
      <c r="C48">
        <v>102.7</v>
      </c>
      <c r="D48">
        <v>102.7</v>
      </c>
      <c r="E48">
        <v>100</v>
      </c>
      <c r="F48" t="s">
        <v>104</v>
      </c>
      <c r="G48" s="7">
        <v>-2.18E-2</v>
      </c>
      <c r="H48" s="2">
        <f t="shared" si="2"/>
        <v>99.386500000000012</v>
      </c>
      <c r="J48" s="3">
        <f t="shared" si="0"/>
        <v>7.5612353567624968E-2</v>
      </c>
      <c r="K48" s="2">
        <f t="shared" si="1"/>
        <v>2.7000000000000028</v>
      </c>
      <c r="L48" s="2">
        <f t="shared" si="3"/>
        <v>1.0385000000000004</v>
      </c>
    </row>
    <row r="49" spans="1:12" x14ac:dyDescent="0.25">
      <c r="A49" s="1">
        <v>45726</v>
      </c>
      <c r="B49">
        <v>100.99</v>
      </c>
      <c r="C49">
        <v>100.98</v>
      </c>
      <c r="D49">
        <v>100.99</v>
      </c>
      <c r="E49">
        <v>100.5</v>
      </c>
      <c r="F49" t="s">
        <v>105</v>
      </c>
      <c r="G49" s="7">
        <v>-1E-4</v>
      </c>
      <c r="H49" s="2">
        <f t="shared" si="2"/>
        <v>99.566000000000003</v>
      </c>
      <c r="J49" s="3">
        <f t="shared" si="0"/>
        <v>7.5505857294994483E-2</v>
      </c>
      <c r="K49" s="2">
        <f t="shared" si="1"/>
        <v>0.48999999999999488</v>
      </c>
      <c r="L49" s="2">
        <f t="shared" si="3"/>
        <v>1.0325000000000002</v>
      </c>
    </row>
    <row r="50" spans="1:12" x14ac:dyDescent="0.25">
      <c r="A50" s="1">
        <v>45727</v>
      </c>
      <c r="B50">
        <v>100.1</v>
      </c>
      <c r="C50">
        <v>100.99</v>
      </c>
      <c r="D50">
        <v>100.99</v>
      </c>
      <c r="E50">
        <v>100.1</v>
      </c>
      <c r="F50" t="s">
        <v>80</v>
      </c>
      <c r="G50" s="7">
        <v>-8.8000000000000005E-3</v>
      </c>
      <c r="H50" s="2">
        <f t="shared" si="2"/>
        <v>99.719500000000011</v>
      </c>
      <c r="J50" s="3">
        <f t="shared" si="0"/>
        <v>6.6027689030883741E-2</v>
      </c>
      <c r="K50" s="2">
        <f t="shared" si="1"/>
        <v>0.89000000000000057</v>
      </c>
      <c r="L50" s="2">
        <f t="shared" si="3"/>
        <v>1.0485</v>
      </c>
    </row>
    <row r="51" spans="1:12" x14ac:dyDescent="0.25">
      <c r="A51" s="1">
        <v>45728</v>
      </c>
      <c r="B51">
        <v>101</v>
      </c>
      <c r="C51">
        <v>100.1</v>
      </c>
      <c r="D51">
        <v>102.8</v>
      </c>
      <c r="E51">
        <v>100.1</v>
      </c>
      <c r="F51" t="s">
        <v>106</v>
      </c>
      <c r="G51" s="7">
        <v>8.9999999999999993E-3</v>
      </c>
      <c r="H51" s="2">
        <f t="shared" si="2"/>
        <v>99.912000000000006</v>
      </c>
      <c r="I51" s="2">
        <f>AVERAGE(B2:B51)</f>
        <v>97.704999999999998</v>
      </c>
      <c r="J51" s="3">
        <f t="shared" si="0"/>
        <v>7.5612353567624968E-2</v>
      </c>
      <c r="K51" s="2">
        <f t="shared" si="1"/>
        <v>2.7000000000000028</v>
      </c>
      <c r="L51" s="2">
        <f t="shared" si="3"/>
        <v>1.1634999999999998</v>
      </c>
    </row>
    <row r="52" spans="1:12" x14ac:dyDescent="0.25">
      <c r="A52" s="1">
        <v>45729</v>
      </c>
      <c r="B52">
        <v>101.9</v>
      </c>
      <c r="C52">
        <v>100.9</v>
      </c>
      <c r="D52">
        <v>102</v>
      </c>
      <c r="E52">
        <v>100.9</v>
      </c>
      <c r="F52" t="s">
        <v>22</v>
      </c>
      <c r="G52" s="7">
        <v>8.8999999999999999E-3</v>
      </c>
      <c r="H52" s="2">
        <f t="shared" si="2"/>
        <v>100.137</v>
      </c>
      <c r="I52" s="2">
        <f t="shared" ref="I52:I115" si="4">AVERAGE(B3:B52)</f>
        <v>97.864999999999995</v>
      </c>
      <c r="J52" s="3">
        <f t="shared" si="0"/>
        <v>8.5197018104366418E-2</v>
      </c>
      <c r="K52" s="2">
        <f t="shared" si="1"/>
        <v>1.0999999999999943</v>
      </c>
      <c r="L52" s="2">
        <f t="shared" si="3"/>
        <v>1.1984999999999992</v>
      </c>
    </row>
    <row r="53" spans="1:12" x14ac:dyDescent="0.25">
      <c r="A53" s="1">
        <v>45730</v>
      </c>
      <c r="B53">
        <v>100.6</v>
      </c>
      <c r="C53">
        <v>101.5</v>
      </c>
      <c r="D53">
        <v>101.5</v>
      </c>
      <c r="E53">
        <v>100.6</v>
      </c>
      <c r="F53" t="s">
        <v>107</v>
      </c>
      <c r="G53" s="7">
        <v>-1.2800000000000001E-2</v>
      </c>
      <c r="H53" s="2">
        <f t="shared" si="2"/>
        <v>100.292</v>
      </c>
      <c r="I53" s="2">
        <f t="shared" si="4"/>
        <v>98.007000000000005</v>
      </c>
      <c r="J53" s="3">
        <f t="shared" si="0"/>
        <v>7.1352502662406669E-2</v>
      </c>
      <c r="K53" s="2">
        <f t="shared" si="1"/>
        <v>0.90000000000000568</v>
      </c>
      <c r="L53" s="2">
        <f t="shared" si="3"/>
        <v>1.1934999999999996</v>
      </c>
    </row>
    <row r="54" spans="1:12" x14ac:dyDescent="0.25">
      <c r="A54" s="1">
        <v>45733</v>
      </c>
      <c r="B54">
        <v>100.59</v>
      </c>
      <c r="C54">
        <v>100.55</v>
      </c>
      <c r="D54">
        <v>100.6</v>
      </c>
      <c r="E54">
        <v>100.3</v>
      </c>
      <c r="F54" t="s">
        <v>100</v>
      </c>
      <c r="G54" s="7">
        <v>-1E-4</v>
      </c>
      <c r="H54" s="2">
        <f t="shared" si="2"/>
        <v>100.44649999999999</v>
      </c>
      <c r="I54" s="2">
        <f t="shared" si="4"/>
        <v>98.144999999999996</v>
      </c>
      <c r="J54" s="3">
        <f t="shared" si="0"/>
        <v>7.1246006389776406E-2</v>
      </c>
      <c r="K54" s="2">
        <f t="shared" si="1"/>
        <v>0.29999999999999716</v>
      </c>
      <c r="L54" s="2">
        <f t="shared" si="3"/>
        <v>1.1794999999999995</v>
      </c>
    </row>
    <row r="55" spans="1:12" x14ac:dyDescent="0.25">
      <c r="A55" s="1">
        <v>45734</v>
      </c>
      <c r="B55">
        <v>99.9</v>
      </c>
      <c r="C55">
        <v>100.6</v>
      </c>
      <c r="D55">
        <v>100.6</v>
      </c>
      <c r="E55">
        <v>99.71</v>
      </c>
      <c r="F55" t="s">
        <v>108</v>
      </c>
      <c r="G55" s="7">
        <v>-6.8999999999999999E-3</v>
      </c>
      <c r="H55" s="2">
        <f t="shared" si="2"/>
        <v>100.51649999999999</v>
      </c>
      <c r="I55" s="2">
        <f t="shared" si="4"/>
        <v>98.27300000000001</v>
      </c>
      <c r="J55" s="3">
        <f t="shared" si="0"/>
        <v>6.3897763578274702E-2</v>
      </c>
      <c r="K55" s="2">
        <f t="shared" si="1"/>
        <v>0.89000000000000057</v>
      </c>
      <c r="L55" s="2">
        <f t="shared" si="3"/>
        <v>1.1569999999999994</v>
      </c>
    </row>
    <row r="56" spans="1:12" x14ac:dyDescent="0.25">
      <c r="A56" s="1">
        <v>45735</v>
      </c>
      <c r="B56">
        <v>99.72</v>
      </c>
      <c r="C56">
        <v>99.9</v>
      </c>
      <c r="D56">
        <v>100</v>
      </c>
      <c r="E56">
        <v>99</v>
      </c>
      <c r="F56" t="s">
        <v>109</v>
      </c>
      <c r="G56" s="7">
        <v>-1.8E-3</v>
      </c>
      <c r="H56" s="2">
        <f t="shared" si="2"/>
        <v>100.55800000000001</v>
      </c>
      <c r="I56" s="2">
        <f t="shared" si="4"/>
        <v>98.393400000000014</v>
      </c>
      <c r="J56" s="3">
        <f t="shared" si="0"/>
        <v>6.1980830670926412E-2</v>
      </c>
      <c r="K56" s="2">
        <f t="shared" si="1"/>
        <v>1</v>
      </c>
      <c r="L56" s="2">
        <f t="shared" si="3"/>
        <v>1.1399999999999999</v>
      </c>
    </row>
    <row r="57" spans="1:12" x14ac:dyDescent="0.25">
      <c r="A57" s="1">
        <v>45737</v>
      </c>
      <c r="B57">
        <v>99.7</v>
      </c>
      <c r="C57">
        <v>99</v>
      </c>
      <c r="D57">
        <v>99.72</v>
      </c>
      <c r="E57">
        <v>99</v>
      </c>
      <c r="F57" t="s">
        <v>110</v>
      </c>
      <c r="G57" s="7">
        <v>-2.0000000000000001E-4</v>
      </c>
      <c r="H57" s="2">
        <f t="shared" si="2"/>
        <v>100.598</v>
      </c>
      <c r="I57" s="2">
        <f t="shared" si="4"/>
        <v>98.507600000000025</v>
      </c>
      <c r="J57" s="3">
        <f t="shared" si="0"/>
        <v>6.1767838125665664E-2</v>
      </c>
      <c r="K57" s="2">
        <f t="shared" si="1"/>
        <v>0.71999999999999886</v>
      </c>
      <c r="L57" s="2">
        <f t="shared" si="3"/>
        <v>1.1434999999999995</v>
      </c>
    </row>
    <row r="58" spans="1:12" x14ac:dyDescent="0.25">
      <c r="A58" s="1">
        <v>45740</v>
      </c>
      <c r="B58">
        <v>98.9</v>
      </c>
      <c r="C58">
        <v>99.7</v>
      </c>
      <c r="D58">
        <v>99.7</v>
      </c>
      <c r="E58">
        <v>98.1</v>
      </c>
      <c r="F58" t="s">
        <v>94</v>
      </c>
      <c r="G58" s="7">
        <v>-8.0000000000000002E-3</v>
      </c>
      <c r="H58" s="2">
        <f t="shared" si="2"/>
        <v>100.56800000000001</v>
      </c>
      <c r="I58" s="2">
        <f t="shared" si="4"/>
        <v>98.605800000000002</v>
      </c>
      <c r="J58" s="3">
        <f t="shared" si="0"/>
        <v>5.3248136315229067E-2</v>
      </c>
      <c r="K58" s="2">
        <f t="shared" si="1"/>
        <v>1.6000000000000085</v>
      </c>
      <c r="L58" s="2">
        <f t="shared" si="3"/>
        <v>1.1534999999999997</v>
      </c>
    </row>
    <row r="59" spans="1:12" x14ac:dyDescent="0.25">
      <c r="A59" s="1">
        <v>45741</v>
      </c>
      <c r="B59">
        <v>98.9</v>
      </c>
      <c r="C59">
        <v>98.9</v>
      </c>
      <c r="D59">
        <v>99.6</v>
      </c>
      <c r="E59">
        <v>98</v>
      </c>
      <c r="F59" t="s">
        <v>111</v>
      </c>
      <c r="G59" s="7">
        <v>0</v>
      </c>
      <c r="H59" s="2">
        <f t="shared" si="2"/>
        <v>100.56300000000002</v>
      </c>
      <c r="I59" s="2">
        <f t="shared" si="4"/>
        <v>98.703799999999973</v>
      </c>
      <c r="J59" s="3">
        <f t="shared" si="0"/>
        <v>5.3248136315229067E-2</v>
      </c>
      <c r="K59" s="2">
        <f t="shared" si="1"/>
        <v>1.5999999999999943</v>
      </c>
      <c r="L59" s="2">
        <f t="shared" si="3"/>
        <v>1.1899999999999991</v>
      </c>
    </row>
    <row r="60" spans="1:12" x14ac:dyDescent="0.25">
      <c r="A60" s="1">
        <v>45742</v>
      </c>
      <c r="B60">
        <v>98.66</v>
      </c>
      <c r="C60">
        <v>98.13</v>
      </c>
      <c r="D60">
        <v>98.9</v>
      </c>
      <c r="E60">
        <v>98.13</v>
      </c>
      <c r="F60" t="s">
        <v>112</v>
      </c>
      <c r="G60" s="7">
        <v>-2.3999999999999998E-3</v>
      </c>
      <c r="H60" s="2">
        <f t="shared" si="2"/>
        <v>100.56050000000002</v>
      </c>
      <c r="I60" s="2">
        <f t="shared" si="4"/>
        <v>98.777199999999979</v>
      </c>
      <c r="J60" s="3">
        <f t="shared" si="0"/>
        <v>5.0692225772097865E-2</v>
      </c>
      <c r="K60" s="2">
        <f t="shared" si="1"/>
        <v>0.77000000000001023</v>
      </c>
      <c r="L60" s="2">
        <f t="shared" si="3"/>
        <v>1.1924999999999997</v>
      </c>
    </row>
    <row r="61" spans="1:12" x14ac:dyDescent="0.25">
      <c r="A61" s="1">
        <v>45743</v>
      </c>
      <c r="B61">
        <v>98.9</v>
      </c>
      <c r="C61">
        <v>98.9</v>
      </c>
      <c r="D61">
        <v>98.9</v>
      </c>
      <c r="E61">
        <v>98.1</v>
      </c>
      <c r="F61" t="s">
        <v>12</v>
      </c>
      <c r="G61" s="7">
        <v>2.3999999999999998E-3</v>
      </c>
      <c r="H61" s="2">
        <f t="shared" si="2"/>
        <v>100.56050000000002</v>
      </c>
      <c r="I61" s="2">
        <f t="shared" si="4"/>
        <v>98.81519999999999</v>
      </c>
      <c r="J61" s="3">
        <f t="shared" si="0"/>
        <v>5.3248136315229067E-2</v>
      </c>
      <c r="K61" s="2">
        <f t="shared" si="1"/>
        <v>0.80000000000001137</v>
      </c>
      <c r="L61" s="2">
        <f t="shared" si="3"/>
        <v>1.2050000000000005</v>
      </c>
    </row>
    <row r="62" spans="1:12" x14ac:dyDescent="0.25">
      <c r="A62" s="1">
        <v>45744</v>
      </c>
      <c r="B62">
        <v>98.5</v>
      </c>
      <c r="C62">
        <v>98.9</v>
      </c>
      <c r="D62">
        <v>99</v>
      </c>
      <c r="E62">
        <v>98.2</v>
      </c>
      <c r="F62" t="s">
        <v>113</v>
      </c>
      <c r="G62" s="7">
        <v>-4.0000000000000001E-3</v>
      </c>
      <c r="H62" s="2">
        <f t="shared" si="2"/>
        <v>100.50050000000002</v>
      </c>
      <c r="I62" s="2">
        <f t="shared" si="4"/>
        <v>98.848199999999963</v>
      </c>
      <c r="J62" s="3">
        <f t="shared" si="0"/>
        <v>4.8988285410010546E-2</v>
      </c>
      <c r="K62" s="2">
        <f t="shared" si="1"/>
        <v>0.79999999999999716</v>
      </c>
      <c r="L62" s="2">
        <f t="shared" si="3"/>
        <v>1.19</v>
      </c>
    </row>
    <row r="63" spans="1:12" x14ac:dyDescent="0.25">
      <c r="A63" s="1">
        <v>45749</v>
      </c>
      <c r="B63">
        <v>98.5</v>
      </c>
      <c r="C63">
        <v>98.25</v>
      </c>
      <c r="D63">
        <v>99</v>
      </c>
      <c r="E63">
        <v>98</v>
      </c>
      <c r="F63" t="s">
        <v>114</v>
      </c>
      <c r="G63" s="7">
        <v>0</v>
      </c>
      <c r="H63" s="2">
        <f t="shared" si="2"/>
        <v>100.43050000000002</v>
      </c>
      <c r="I63" s="2">
        <f t="shared" si="4"/>
        <v>98.888199999999983</v>
      </c>
      <c r="J63" s="3">
        <f t="shared" si="0"/>
        <v>4.8988285410010546E-2</v>
      </c>
      <c r="K63" s="2">
        <f t="shared" si="1"/>
        <v>1</v>
      </c>
      <c r="L63" s="2">
        <f t="shared" si="3"/>
        <v>1.2350000000000001</v>
      </c>
    </row>
    <row r="64" spans="1:12" x14ac:dyDescent="0.25">
      <c r="A64" s="1">
        <v>45750</v>
      </c>
      <c r="B64">
        <v>98.5</v>
      </c>
      <c r="C64">
        <v>98.98</v>
      </c>
      <c r="D64">
        <v>98.98</v>
      </c>
      <c r="E64">
        <v>98.25</v>
      </c>
      <c r="F64" t="s">
        <v>115</v>
      </c>
      <c r="G64" s="7">
        <v>0</v>
      </c>
      <c r="H64" s="2">
        <f t="shared" si="2"/>
        <v>100.30550000000002</v>
      </c>
      <c r="I64" s="2">
        <f t="shared" si="4"/>
        <v>98.928199999999975</v>
      </c>
      <c r="J64" s="3">
        <f t="shared" si="0"/>
        <v>4.8988285410010546E-2</v>
      </c>
      <c r="K64" s="2">
        <f t="shared" si="1"/>
        <v>0.73000000000000398</v>
      </c>
      <c r="L64" s="2">
        <f t="shared" si="3"/>
        <v>1.1665000000000005</v>
      </c>
    </row>
    <row r="65" spans="1:12" x14ac:dyDescent="0.25">
      <c r="A65" s="1">
        <v>45751</v>
      </c>
      <c r="B65">
        <v>98.85</v>
      </c>
      <c r="C65">
        <v>98.5</v>
      </c>
      <c r="D65">
        <v>98.99</v>
      </c>
      <c r="E65">
        <v>98.5</v>
      </c>
      <c r="F65" t="s">
        <v>116</v>
      </c>
      <c r="G65" s="7">
        <v>3.5999999999999999E-3</v>
      </c>
      <c r="H65" s="2">
        <f t="shared" si="2"/>
        <v>100.07300000000001</v>
      </c>
      <c r="I65" s="2">
        <f t="shared" si="4"/>
        <v>98.965199999999982</v>
      </c>
      <c r="J65" s="3">
        <f t="shared" si="0"/>
        <v>5.271565495207664E-2</v>
      </c>
      <c r="K65" s="2">
        <f t="shared" si="1"/>
        <v>0.48999999999999488</v>
      </c>
      <c r="L65" s="2">
        <f t="shared" si="3"/>
        <v>1.0660000000000003</v>
      </c>
    </row>
    <row r="66" spans="1:12" x14ac:dyDescent="0.25">
      <c r="A66" s="1">
        <v>45754</v>
      </c>
      <c r="B66">
        <v>98</v>
      </c>
      <c r="C66">
        <v>98.85</v>
      </c>
      <c r="D66">
        <v>98.85</v>
      </c>
      <c r="E66">
        <v>97.4</v>
      </c>
      <c r="F66" t="s">
        <v>62</v>
      </c>
      <c r="G66" s="7">
        <v>-8.6E-3</v>
      </c>
      <c r="H66" s="2">
        <f t="shared" si="2"/>
        <v>99.823000000000008</v>
      </c>
      <c r="I66" s="2">
        <f t="shared" si="4"/>
        <v>98.989199999999983</v>
      </c>
      <c r="J66" s="3">
        <f t="shared" si="0"/>
        <v>4.3663471778487617E-2</v>
      </c>
      <c r="K66" s="2">
        <f t="shared" si="1"/>
        <v>1.4499999999999886</v>
      </c>
      <c r="L66" s="2">
        <f t="shared" si="3"/>
        <v>1.0884999999999998</v>
      </c>
    </row>
    <row r="67" spans="1:12" x14ac:dyDescent="0.25">
      <c r="A67" s="1">
        <v>45755</v>
      </c>
      <c r="B67">
        <v>98.6</v>
      </c>
      <c r="C67">
        <v>98</v>
      </c>
      <c r="D67">
        <v>98.6</v>
      </c>
      <c r="E67">
        <v>97.56</v>
      </c>
      <c r="F67" t="s">
        <v>81</v>
      </c>
      <c r="G67" s="7">
        <v>6.1000000000000004E-3</v>
      </c>
      <c r="H67" s="2">
        <f t="shared" si="2"/>
        <v>99.590500000000006</v>
      </c>
      <c r="I67" s="2">
        <f t="shared" si="4"/>
        <v>98.993200000000002</v>
      </c>
      <c r="J67" s="3">
        <f t="shared" ref="J67:J130" si="5">(B67/$B$2)-1</f>
        <v>5.0053248136315176E-2</v>
      </c>
      <c r="K67" s="2">
        <f t="shared" ref="K67:K130" si="6">D67-E67</f>
        <v>1.039999999999992</v>
      </c>
      <c r="L67" s="2">
        <f t="shared" si="3"/>
        <v>1.0985</v>
      </c>
    </row>
    <row r="68" spans="1:12" x14ac:dyDescent="0.25">
      <c r="A68" s="1">
        <v>45757</v>
      </c>
      <c r="B68">
        <v>98.6</v>
      </c>
      <c r="C68">
        <v>98.8</v>
      </c>
      <c r="D68">
        <v>98.8</v>
      </c>
      <c r="E68">
        <v>98.5</v>
      </c>
      <c r="F68" t="s">
        <v>37</v>
      </c>
      <c r="G68" s="7">
        <v>0</v>
      </c>
      <c r="H68" s="2">
        <f t="shared" si="2"/>
        <v>99.470500000000001</v>
      </c>
      <c r="I68" s="2">
        <f t="shared" si="4"/>
        <v>98.98720000000003</v>
      </c>
      <c r="J68" s="3">
        <f t="shared" si="5"/>
        <v>5.0053248136315176E-2</v>
      </c>
      <c r="K68" s="2">
        <f t="shared" si="6"/>
        <v>0.29999999999999716</v>
      </c>
      <c r="L68" s="2">
        <f t="shared" si="3"/>
        <v>0.9784999999999997</v>
      </c>
    </row>
    <row r="69" spans="1:12" x14ac:dyDescent="0.25">
      <c r="A69" s="1">
        <v>45758</v>
      </c>
      <c r="B69">
        <v>98.98</v>
      </c>
      <c r="C69">
        <v>98.5</v>
      </c>
      <c r="D69">
        <v>98.99</v>
      </c>
      <c r="E69">
        <v>98.5</v>
      </c>
      <c r="F69" t="s">
        <v>117</v>
      </c>
      <c r="G69" s="7">
        <v>3.8999999999999998E-3</v>
      </c>
      <c r="H69" s="2">
        <f t="shared" si="2"/>
        <v>99.36999999999999</v>
      </c>
      <c r="I69" s="2">
        <f t="shared" si="4"/>
        <v>99.006799999999998</v>
      </c>
      <c r="J69" s="3">
        <f t="shared" si="5"/>
        <v>5.4100106496272504E-2</v>
      </c>
      <c r="K69" s="2">
        <f t="shared" si="6"/>
        <v>0.48999999999999488</v>
      </c>
      <c r="L69" s="2">
        <f t="shared" si="3"/>
        <v>0.9784999999999997</v>
      </c>
    </row>
    <row r="70" spans="1:12" x14ac:dyDescent="0.25">
      <c r="A70" s="1">
        <v>45761</v>
      </c>
      <c r="B70">
        <v>99.2</v>
      </c>
      <c r="C70">
        <v>98.91</v>
      </c>
      <c r="D70">
        <v>99.2</v>
      </c>
      <c r="E70">
        <v>98.9</v>
      </c>
      <c r="F70" t="s">
        <v>118</v>
      </c>
      <c r="G70" s="7">
        <v>2.2000000000000001E-3</v>
      </c>
      <c r="H70" s="2">
        <f t="shared" si="2"/>
        <v>99.324999999999989</v>
      </c>
      <c r="I70" s="2">
        <f t="shared" si="4"/>
        <v>99.034800000000018</v>
      </c>
      <c r="J70" s="3">
        <f t="shared" si="5"/>
        <v>5.6443024494142735E-2</v>
      </c>
      <c r="K70" s="2">
        <f t="shared" si="6"/>
        <v>0.29999999999999716</v>
      </c>
      <c r="L70" s="2">
        <f t="shared" si="3"/>
        <v>0.94899999999999951</v>
      </c>
    </row>
    <row r="71" spans="1:12" x14ac:dyDescent="0.25">
      <c r="A71" s="1">
        <v>45762</v>
      </c>
      <c r="B71">
        <v>99.99</v>
      </c>
      <c r="C71">
        <v>99.2</v>
      </c>
      <c r="D71">
        <v>100</v>
      </c>
      <c r="E71">
        <v>99.2</v>
      </c>
      <c r="F71" t="s">
        <v>50</v>
      </c>
      <c r="G71" s="7">
        <v>8.0000000000000002E-3</v>
      </c>
      <c r="H71" s="2">
        <f t="shared" si="2"/>
        <v>99.274499999999989</v>
      </c>
      <c r="I71" s="2">
        <f t="shared" si="4"/>
        <v>99.086600000000018</v>
      </c>
      <c r="J71" s="3">
        <f t="shared" si="5"/>
        <v>6.4856230031948847E-2</v>
      </c>
      <c r="K71" s="2">
        <f t="shared" si="6"/>
        <v>0.79999999999999716</v>
      </c>
      <c r="L71" s="2">
        <f t="shared" si="3"/>
        <v>0.8539999999999992</v>
      </c>
    </row>
    <row r="72" spans="1:12" x14ac:dyDescent="0.25">
      <c r="A72" s="1">
        <v>45763</v>
      </c>
      <c r="B72">
        <v>99.99</v>
      </c>
      <c r="C72">
        <v>99.99</v>
      </c>
      <c r="D72">
        <v>100</v>
      </c>
      <c r="E72">
        <v>99.6</v>
      </c>
      <c r="F72" t="s">
        <v>44</v>
      </c>
      <c r="G72" s="7">
        <v>0</v>
      </c>
      <c r="H72" s="2">
        <f t="shared" si="2"/>
        <v>99.178999999999988</v>
      </c>
      <c r="I72" s="2">
        <f t="shared" si="4"/>
        <v>99.132400000000004</v>
      </c>
      <c r="J72" s="3">
        <f t="shared" si="5"/>
        <v>6.4856230031948847E-2</v>
      </c>
      <c r="K72" s="2">
        <f t="shared" si="6"/>
        <v>0.40000000000000568</v>
      </c>
      <c r="L72" s="2">
        <f t="shared" si="3"/>
        <v>0.81899999999999973</v>
      </c>
    </row>
    <row r="73" spans="1:12" x14ac:dyDescent="0.25">
      <c r="A73" s="1">
        <v>45764</v>
      </c>
      <c r="B73">
        <v>101.99</v>
      </c>
      <c r="C73">
        <v>99.99</v>
      </c>
      <c r="D73">
        <v>102</v>
      </c>
      <c r="E73">
        <v>99.99</v>
      </c>
      <c r="F73" t="s">
        <v>119</v>
      </c>
      <c r="G73" s="7">
        <v>0.02</v>
      </c>
      <c r="H73" s="2">
        <f t="shared" si="2"/>
        <v>99.248499999999993</v>
      </c>
      <c r="I73" s="2">
        <f t="shared" si="4"/>
        <v>99.232199999999992</v>
      </c>
      <c r="J73" s="3">
        <f t="shared" si="5"/>
        <v>8.6155484558040341E-2</v>
      </c>
      <c r="K73" s="2">
        <f t="shared" si="6"/>
        <v>2.0100000000000051</v>
      </c>
      <c r="L73" s="2">
        <f t="shared" si="3"/>
        <v>0.87449999999999972</v>
      </c>
    </row>
    <row r="74" spans="1:12" x14ac:dyDescent="0.25">
      <c r="A74" s="1">
        <v>45765</v>
      </c>
      <c r="B74">
        <v>100.99</v>
      </c>
      <c r="C74">
        <v>101.99</v>
      </c>
      <c r="D74">
        <v>101.99</v>
      </c>
      <c r="E74">
        <v>100</v>
      </c>
      <c r="F74" t="s">
        <v>21</v>
      </c>
      <c r="G74" s="7">
        <v>-9.7999999999999997E-3</v>
      </c>
      <c r="H74" s="2">
        <f t="shared" si="2"/>
        <v>99.268499999999989</v>
      </c>
      <c r="I74" s="2">
        <f t="shared" si="4"/>
        <v>99.311999999999983</v>
      </c>
      <c r="J74" s="3">
        <f t="shared" si="5"/>
        <v>7.5505857294994483E-2</v>
      </c>
      <c r="K74" s="2">
        <f t="shared" si="6"/>
        <v>1.9899999999999949</v>
      </c>
      <c r="L74" s="2">
        <f t="shared" si="3"/>
        <v>0.95899999999999963</v>
      </c>
    </row>
    <row r="75" spans="1:12" x14ac:dyDescent="0.25">
      <c r="A75" s="1">
        <v>45768</v>
      </c>
      <c r="B75">
        <v>101.87</v>
      </c>
      <c r="C75">
        <v>102</v>
      </c>
      <c r="D75">
        <v>102</v>
      </c>
      <c r="E75">
        <v>100.99</v>
      </c>
      <c r="F75" t="s">
        <v>120</v>
      </c>
      <c r="G75" s="7">
        <v>8.6999999999999994E-3</v>
      </c>
      <c r="H75" s="2">
        <f t="shared" si="2"/>
        <v>99.367000000000004</v>
      </c>
      <c r="I75" s="2">
        <f t="shared" si="4"/>
        <v>99.409799999999976</v>
      </c>
      <c r="J75" s="3">
        <f t="shared" si="5"/>
        <v>8.4877529286474962E-2</v>
      </c>
      <c r="K75" s="2">
        <f t="shared" si="6"/>
        <v>1.0100000000000051</v>
      </c>
      <c r="L75" s="2">
        <f t="shared" si="3"/>
        <v>0.96499999999999986</v>
      </c>
    </row>
    <row r="76" spans="1:12" x14ac:dyDescent="0.25">
      <c r="A76" s="1">
        <v>45769</v>
      </c>
      <c r="B76">
        <v>101.87</v>
      </c>
      <c r="C76">
        <v>101.1</v>
      </c>
      <c r="D76">
        <v>102</v>
      </c>
      <c r="E76">
        <v>101.1</v>
      </c>
      <c r="F76" t="s">
        <v>121</v>
      </c>
      <c r="G76" s="7">
        <v>0</v>
      </c>
      <c r="H76" s="2">
        <f t="shared" si="2"/>
        <v>99.474499999999992</v>
      </c>
      <c r="I76" s="2">
        <f t="shared" si="4"/>
        <v>99.509199999999964</v>
      </c>
      <c r="J76" s="3">
        <f t="shared" si="5"/>
        <v>8.4877529286474962E-2</v>
      </c>
      <c r="K76" s="2">
        <f t="shared" si="6"/>
        <v>0.90000000000000568</v>
      </c>
      <c r="L76" s="2">
        <f t="shared" si="3"/>
        <v>0.96000000000000019</v>
      </c>
    </row>
    <row r="77" spans="1:12" x14ac:dyDescent="0.25">
      <c r="A77" s="1">
        <v>45770</v>
      </c>
      <c r="B77">
        <v>102</v>
      </c>
      <c r="C77">
        <v>103</v>
      </c>
      <c r="D77">
        <v>103</v>
      </c>
      <c r="E77">
        <v>101.87</v>
      </c>
      <c r="F77" t="s">
        <v>122</v>
      </c>
      <c r="G77" s="7">
        <v>1.2999999999999999E-3</v>
      </c>
      <c r="H77" s="2">
        <f t="shared" si="2"/>
        <v>99.589500000000001</v>
      </c>
      <c r="I77" s="2">
        <f t="shared" si="4"/>
        <v>99.620199999999969</v>
      </c>
      <c r="J77" s="3">
        <f t="shared" si="5"/>
        <v>8.6261980830670826E-2</v>
      </c>
      <c r="K77" s="2">
        <f t="shared" si="6"/>
        <v>1.1299999999999955</v>
      </c>
      <c r="L77" s="2">
        <f t="shared" si="3"/>
        <v>0.98049999999999993</v>
      </c>
    </row>
    <row r="78" spans="1:12" x14ac:dyDescent="0.25">
      <c r="A78" s="1">
        <v>45771</v>
      </c>
      <c r="B78">
        <v>103</v>
      </c>
      <c r="C78">
        <v>102</v>
      </c>
      <c r="D78">
        <v>103</v>
      </c>
      <c r="E78">
        <v>101.9</v>
      </c>
      <c r="F78" t="s">
        <v>20</v>
      </c>
      <c r="G78" s="7">
        <v>9.7999999999999997E-3</v>
      </c>
      <c r="H78" s="2">
        <f t="shared" si="2"/>
        <v>99.794499999999999</v>
      </c>
      <c r="I78" s="2">
        <f t="shared" si="4"/>
        <v>99.740399999999966</v>
      </c>
      <c r="J78" s="3">
        <f t="shared" si="5"/>
        <v>9.6911608093716683E-2</v>
      </c>
      <c r="K78" s="2">
        <f t="shared" si="6"/>
        <v>1.0999999999999943</v>
      </c>
      <c r="L78" s="2">
        <f t="shared" si="3"/>
        <v>0.95549999999999924</v>
      </c>
    </row>
    <row r="79" spans="1:12" x14ac:dyDescent="0.25">
      <c r="A79" s="1">
        <v>45772</v>
      </c>
      <c r="B79">
        <v>102.49</v>
      </c>
      <c r="C79">
        <v>103</v>
      </c>
      <c r="D79">
        <v>103</v>
      </c>
      <c r="E79">
        <v>102</v>
      </c>
      <c r="F79" t="s">
        <v>123</v>
      </c>
      <c r="G79" s="7">
        <v>-5.0000000000000001E-3</v>
      </c>
      <c r="H79" s="2">
        <f t="shared" si="2"/>
        <v>99.97399999999999</v>
      </c>
      <c r="I79" s="2">
        <f t="shared" si="4"/>
        <v>99.842199999999977</v>
      </c>
      <c r="J79" s="3">
        <f t="shared" si="5"/>
        <v>9.1480298189563269E-2</v>
      </c>
      <c r="K79" s="2">
        <f t="shared" si="6"/>
        <v>1</v>
      </c>
      <c r="L79" s="2">
        <f t="shared" si="3"/>
        <v>0.92549999999999955</v>
      </c>
    </row>
    <row r="80" spans="1:12" x14ac:dyDescent="0.25">
      <c r="A80" s="1">
        <v>45775</v>
      </c>
      <c r="B80">
        <v>102.49</v>
      </c>
      <c r="C80">
        <v>102</v>
      </c>
      <c r="D80">
        <v>102.98</v>
      </c>
      <c r="E80">
        <v>102</v>
      </c>
      <c r="F80" t="s">
        <v>113</v>
      </c>
      <c r="G80" s="7">
        <v>0</v>
      </c>
      <c r="H80" s="2">
        <f t="shared" si="2"/>
        <v>100.16549999999999</v>
      </c>
      <c r="I80" s="2">
        <f t="shared" si="4"/>
        <v>99.951399999999978</v>
      </c>
      <c r="J80" s="3">
        <f t="shared" si="5"/>
        <v>9.1480298189563269E-2</v>
      </c>
      <c r="K80" s="2">
        <f t="shared" si="6"/>
        <v>0.98000000000000398</v>
      </c>
      <c r="L80" s="2">
        <f t="shared" si="3"/>
        <v>0.93599999999999928</v>
      </c>
    </row>
    <row r="81" spans="1:12" x14ac:dyDescent="0.25">
      <c r="A81" s="1">
        <v>45776</v>
      </c>
      <c r="B81">
        <v>103.4</v>
      </c>
      <c r="C81">
        <v>102.98</v>
      </c>
      <c r="D81">
        <v>103.48</v>
      </c>
      <c r="E81">
        <v>102</v>
      </c>
      <c r="F81" t="s">
        <v>124</v>
      </c>
      <c r="G81" s="7">
        <v>8.8999999999999999E-3</v>
      </c>
      <c r="H81" s="2">
        <f t="shared" si="2"/>
        <v>100.3905</v>
      </c>
      <c r="I81" s="2">
        <f t="shared" si="4"/>
        <v>100.07639999999996</v>
      </c>
      <c r="J81" s="3">
        <f t="shared" si="5"/>
        <v>0.10117145899893498</v>
      </c>
      <c r="K81" s="2">
        <f t="shared" si="6"/>
        <v>1.480000000000004</v>
      </c>
      <c r="L81" s="2">
        <f t="shared" si="3"/>
        <v>0.96999999999999886</v>
      </c>
    </row>
    <row r="82" spans="1:12" x14ac:dyDescent="0.25">
      <c r="A82" s="1">
        <v>45777</v>
      </c>
      <c r="B82">
        <v>103</v>
      </c>
      <c r="C82">
        <v>102.5</v>
      </c>
      <c r="D82">
        <v>103.48</v>
      </c>
      <c r="E82">
        <v>102.5</v>
      </c>
      <c r="F82" t="s">
        <v>40</v>
      </c>
      <c r="G82" s="7">
        <v>-3.8999999999999998E-3</v>
      </c>
      <c r="H82" s="2">
        <f t="shared" si="2"/>
        <v>100.6155</v>
      </c>
      <c r="I82" s="2">
        <f t="shared" si="4"/>
        <v>100.18839999999996</v>
      </c>
      <c r="J82" s="3">
        <f t="shared" si="5"/>
        <v>9.6911608093716683E-2</v>
      </c>
      <c r="K82" s="2">
        <f t="shared" si="6"/>
        <v>0.98000000000000398</v>
      </c>
      <c r="L82" s="2">
        <f t="shared" si="3"/>
        <v>0.9789999999999992</v>
      </c>
    </row>
    <row r="83" spans="1:12" x14ac:dyDescent="0.25">
      <c r="A83" s="1">
        <v>45779</v>
      </c>
      <c r="B83">
        <v>103.5</v>
      </c>
      <c r="C83">
        <v>103</v>
      </c>
      <c r="D83">
        <v>103.5</v>
      </c>
      <c r="E83">
        <v>102.6</v>
      </c>
      <c r="F83" t="s">
        <v>125</v>
      </c>
      <c r="G83" s="7">
        <v>4.8999999999999998E-3</v>
      </c>
      <c r="H83" s="2">
        <f t="shared" si="2"/>
        <v>100.8655</v>
      </c>
      <c r="I83" s="2">
        <f t="shared" si="4"/>
        <v>100.30839999999995</v>
      </c>
      <c r="J83" s="3">
        <f t="shared" si="5"/>
        <v>0.10223642172523961</v>
      </c>
      <c r="K83" s="2">
        <f t="shared" si="6"/>
        <v>0.90000000000000568</v>
      </c>
      <c r="L83" s="2">
        <f t="shared" si="3"/>
        <v>0.97399999999999953</v>
      </c>
    </row>
    <row r="84" spans="1:12" x14ac:dyDescent="0.25">
      <c r="A84" s="1">
        <v>45782</v>
      </c>
      <c r="B84">
        <v>103.5</v>
      </c>
      <c r="C84">
        <v>103.49</v>
      </c>
      <c r="D84">
        <v>103.5</v>
      </c>
      <c r="E84">
        <v>103.49</v>
      </c>
      <c r="F84" t="s">
        <v>126</v>
      </c>
      <c r="G84" s="7">
        <v>0</v>
      </c>
      <c r="H84" s="2">
        <f t="shared" si="2"/>
        <v>101.1155</v>
      </c>
      <c r="I84" s="2">
        <f t="shared" si="4"/>
        <v>100.42839999999995</v>
      </c>
      <c r="J84" s="3">
        <f t="shared" si="5"/>
        <v>0.10223642172523961</v>
      </c>
      <c r="K84" s="2">
        <f t="shared" si="6"/>
        <v>1.0000000000005116E-2</v>
      </c>
      <c r="L84" s="2">
        <f t="shared" si="3"/>
        <v>0.9379999999999995</v>
      </c>
    </row>
    <row r="85" spans="1:12" x14ac:dyDescent="0.25">
      <c r="A85" s="1">
        <v>45783</v>
      </c>
      <c r="B85">
        <v>103.47</v>
      </c>
      <c r="C85">
        <v>103.5</v>
      </c>
      <c r="D85">
        <v>103.5</v>
      </c>
      <c r="E85">
        <v>103.47</v>
      </c>
      <c r="F85" t="s">
        <v>127</v>
      </c>
      <c r="G85" s="7">
        <v>-2.9999999999999997E-4</v>
      </c>
      <c r="H85" s="2">
        <f t="shared" si="2"/>
        <v>101.34650000000001</v>
      </c>
      <c r="I85" s="2">
        <f t="shared" si="4"/>
        <v>100.52779999999996</v>
      </c>
      <c r="J85" s="3">
        <f t="shared" si="5"/>
        <v>0.10191693290734816</v>
      </c>
      <c r="K85" s="2">
        <f t="shared" si="6"/>
        <v>3.0000000000001137E-2</v>
      </c>
      <c r="L85" s="2">
        <f t="shared" si="3"/>
        <v>0.91499999999999981</v>
      </c>
    </row>
    <row r="86" spans="1:12" x14ac:dyDescent="0.25">
      <c r="A86" s="1">
        <v>45784</v>
      </c>
      <c r="B86">
        <v>103.47</v>
      </c>
      <c r="C86">
        <v>103.47</v>
      </c>
      <c r="D86">
        <v>103.5</v>
      </c>
      <c r="E86">
        <v>101.5</v>
      </c>
      <c r="F86" t="s">
        <v>128</v>
      </c>
      <c r="G86" s="7">
        <v>0</v>
      </c>
      <c r="H86" s="2">
        <f t="shared" ref="H86:H149" si="7">AVERAGE(B67:B86)</f>
        <v>101.62</v>
      </c>
      <c r="I86" s="2">
        <f t="shared" si="4"/>
        <v>100.61939999999997</v>
      </c>
      <c r="J86" s="3">
        <f t="shared" si="5"/>
        <v>0.10191693290734816</v>
      </c>
      <c r="K86" s="2">
        <f t="shared" si="6"/>
        <v>2</v>
      </c>
      <c r="L86" s="2">
        <f t="shared" ref="L86:L149" si="8">AVERAGE(K67:K86)</f>
        <v>0.94250000000000045</v>
      </c>
    </row>
    <row r="87" spans="1:12" x14ac:dyDescent="0.25">
      <c r="A87" s="1">
        <v>45785</v>
      </c>
      <c r="B87">
        <v>103.4</v>
      </c>
      <c r="C87">
        <v>103.47</v>
      </c>
      <c r="D87">
        <v>103.5</v>
      </c>
      <c r="E87">
        <v>102</v>
      </c>
      <c r="F87" t="s">
        <v>129</v>
      </c>
      <c r="G87" s="7">
        <v>-6.9999999999999999E-4</v>
      </c>
      <c r="H87" s="2">
        <f t="shared" si="7"/>
        <v>101.86000000000001</v>
      </c>
      <c r="I87" s="2">
        <f t="shared" si="4"/>
        <v>100.70939999999995</v>
      </c>
      <c r="J87" s="3">
        <f t="shared" si="5"/>
        <v>0.10117145899893498</v>
      </c>
      <c r="K87" s="2">
        <f t="shared" si="6"/>
        <v>1.5</v>
      </c>
      <c r="L87" s="2">
        <f t="shared" si="8"/>
        <v>0.9655000000000008</v>
      </c>
    </row>
    <row r="88" spans="1:12" x14ac:dyDescent="0.25">
      <c r="A88" s="1">
        <v>45786</v>
      </c>
      <c r="B88">
        <v>103.45</v>
      </c>
      <c r="C88">
        <v>102.4</v>
      </c>
      <c r="D88">
        <v>103.45</v>
      </c>
      <c r="E88">
        <v>102.4</v>
      </c>
      <c r="F88" t="s">
        <v>130</v>
      </c>
      <c r="G88" s="7">
        <v>5.0000000000000001E-4</v>
      </c>
      <c r="H88" s="2">
        <f t="shared" si="7"/>
        <v>102.10250000000001</v>
      </c>
      <c r="I88" s="2">
        <f t="shared" si="4"/>
        <v>100.78839999999997</v>
      </c>
      <c r="J88" s="3">
        <f t="shared" si="5"/>
        <v>0.10170394036208719</v>
      </c>
      <c r="K88" s="2">
        <f t="shared" si="6"/>
        <v>1.0499999999999972</v>
      </c>
      <c r="L88" s="2">
        <f t="shared" si="8"/>
        <v>1.0030000000000008</v>
      </c>
    </row>
    <row r="89" spans="1:12" x14ac:dyDescent="0.25">
      <c r="A89" s="1">
        <v>45789</v>
      </c>
      <c r="B89">
        <v>97.3</v>
      </c>
      <c r="C89">
        <v>97.45</v>
      </c>
      <c r="D89">
        <v>97.8</v>
      </c>
      <c r="E89">
        <v>97</v>
      </c>
      <c r="F89" t="s">
        <v>131</v>
      </c>
      <c r="G89" s="7">
        <v>-5.9400000000000001E-2</v>
      </c>
      <c r="H89" s="2">
        <f t="shared" si="7"/>
        <v>102.0185</v>
      </c>
      <c r="I89" s="2">
        <f t="shared" si="4"/>
        <v>100.75439999999998</v>
      </c>
      <c r="J89" s="3">
        <f t="shared" si="5"/>
        <v>3.620873269435565E-2</v>
      </c>
      <c r="K89" s="2">
        <f t="shared" si="6"/>
        <v>0.79999999999999716</v>
      </c>
      <c r="L89" s="2">
        <f t="shared" si="8"/>
        <v>1.0185000000000008</v>
      </c>
    </row>
    <row r="90" spans="1:12" x14ac:dyDescent="0.25">
      <c r="A90" s="1">
        <v>45790</v>
      </c>
      <c r="B90">
        <v>97.1</v>
      </c>
      <c r="C90">
        <v>97.3</v>
      </c>
      <c r="D90">
        <v>97.3</v>
      </c>
      <c r="E90">
        <v>97</v>
      </c>
      <c r="F90" t="s">
        <v>63</v>
      </c>
      <c r="G90" s="7">
        <v>-2.0999999999999999E-3</v>
      </c>
      <c r="H90" s="2">
        <f t="shared" si="7"/>
        <v>101.91350000000001</v>
      </c>
      <c r="I90" s="2">
        <f t="shared" si="4"/>
        <v>100.72219999999997</v>
      </c>
      <c r="J90" s="3">
        <f t="shared" si="5"/>
        <v>3.4078807241746389E-2</v>
      </c>
      <c r="K90" s="2">
        <f t="shared" si="6"/>
        <v>0.29999999999999716</v>
      </c>
      <c r="L90" s="2">
        <f t="shared" si="8"/>
        <v>1.0185000000000008</v>
      </c>
    </row>
    <row r="91" spans="1:12" x14ac:dyDescent="0.25">
      <c r="A91" s="1">
        <v>45791</v>
      </c>
      <c r="B91">
        <v>97</v>
      </c>
      <c r="C91">
        <v>97</v>
      </c>
      <c r="D91">
        <v>97.1</v>
      </c>
      <c r="E91">
        <v>96.9</v>
      </c>
      <c r="F91" t="s">
        <v>132</v>
      </c>
      <c r="G91" s="7">
        <v>-1E-3</v>
      </c>
      <c r="H91" s="2">
        <f t="shared" si="7"/>
        <v>101.76400000000001</v>
      </c>
      <c r="I91" s="2">
        <f t="shared" si="4"/>
        <v>100.68419999999998</v>
      </c>
      <c r="J91" s="3">
        <f t="shared" si="5"/>
        <v>3.3013844515441981E-2</v>
      </c>
      <c r="K91" s="2">
        <f t="shared" si="6"/>
        <v>0.19999999999998863</v>
      </c>
      <c r="L91" s="2">
        <f t="shared" si="8"/>
        <v>0.98850000000000049</v>
      </c>
    </row>
    <row r="92" spans="1:12" x14ac:dyDescent="0.25">
      <c r="A92" s="1">
        <v>45792</v>
      </c>
      <c r="B92">
        <v>96.98</v>
      </c>
      <c r="C92">
        <v>97</v>
      </c>
      <c r="D92">
        <v>97</v>
      </c>
      <c r="E92">
        <v>96.62</v>
      </c>
      <c r="F92" t="s">
        <v>93</v>
      </c>
      <c r="G92" s="7">
        <v>-2.0000000000000001E-4</v>
      </c>
      <c r="H92" s="2">
        <f t="shared" si="7"/>
        <v>101.6135</v>
      </c>
      <c r="I92" s="2">
        <f t="shared" si="4"/>
        <v>100.62979999999996</v>
      </c>
      <c r="J92" s="3">
        <f t="shared" si="5"/>
        <v>3.2800851970181011E-2</v>
      </c>
      <c r="K92" s="2">
        <f t="shared" si="6"/>
        <v>0.37999999999999545</v>
      </c>
      <c r="L92" s="2">
        <f t="shared" si="8"/>
        <v>0.98750000000000004</v>
      </c>
    </row>
    <row r="93" spans="1:12" x14ac:dyDescent="0.25">
      <c r="A93" s="1">
        <v>45793</v>
      </c>
      <c r="B93">
        <v>97.1</v>
      </c>
      <c r="C93">
        <v>97</v>
      </c>
      <c r="D93">
        <v>97.1</v>
      </c>
      <c r="E93">
        <v>96.65</v>
      </c>
      <c r="F93" t="s">
        <v>133</v>
      </c>
      <c r="G93" s="7">
        <v>1.1999999999999999E-3</v>
      </c>
      <c r="H93" s="2">
        <f t="shared" si="7"/>
        <v>101.369</v>
      </c>
      <c r="I93" s="2">
        <f t="shared" si="4"/>
        <v>100.57379999999998</v>
      </c>
      <c r="J93" s="3">
        <f t="shared" si="5"/>
        <v>3.4078807241746389E-2</v>
      </c>
      <c r="K93" s="2">
        <f t="shared" si="6"/>
        <v>0.44999999999998863</v>
      </c>
      <c r="L93" s="2">
        <f t="shared" si="8"/>
        <v>0.9094999999999992</v>
      </c>
    </row>
    <row r="94" spans="1:12" x14ac:dyDescent="0.25">
      <c r="A94" s="1">
        <v>45796</v>
      </c>
      <c r="B94">
        <v>96.9</v>
      </c>
      <c r="C94">
        <v>97.1</v>
      </c>
      <c r="D94">
        <v>97.1</v>
      </c>
      <c r="E94">
        <v>96.9</v>
      </c>
      <c r="F94" t="s">
        <v>134</v>
      </c>
      <c r="G94" s="7">
        <v>-2.0999999999999999E-3</v>
      </c>
      <c r="H94" s="2">
        <f t="shared" si="7"/>
        <v>101.1645</v>
      </c>
      <c r="I94" s="2">
        <f t="shared" si="4"/>
        <v>100.49179999999997</v>
      </c>
      <c r="J94" s="3">
        <f t="shared" si="5"/>
        <v>3.1948881789137351E-2</v>
      </c>
      <c r="K94" s="2">
        <f t="shared" si="6"/>
        <v>0.19999999999998863</v>
      </c>
      <c r="L94" s="2">
        <f t="shared" si="8"/>
        <v>0.81999999999999884</v>
      </c>
    </row>
    <row r="95" spans="1:12" x14ac:dyDescent="0.25">
      <c r="A95" s="1">
        <v>45797</v>
      </c>
      <c r="B95">
        <v>94.8</v>
      </c>
      <c r="C95">
        <v>97.01</v>
      </c>
      <c r="D95">
        <v>97.01</v>
      </c>
      <c r="E95">
        <v>94.1</v>
      </c>
      <c r="F95" t="s">
        <v>135</v>
      </c>
      <c r="G95" s="7">
        <v>-2.1700000000000001E-2</v>
      </c>
      <c r="H95" s="2">
        <f t="shared" si="7"/>
        <v>100.81100000000001</v>
      </c>
      <c r="I95" s="2">
        <f t="shared" si="4"/>
        <v>100.31779999999995</v>
      </c>
      <c r="J95" s="3">
        <f t="shared" si="5"/>
        <v>9.5846645367412275E-3</v>
      </c>
      <c r="K95" s="2">
        <f t="shared" si="6"/>
        <v>2.9100000000000108</v>
      </c>
      <c r="L95" s="2">
        <f t="shared" si="8"/>
        <v>0.91499999999999915</v>
      </c>
    </row>
    <row r="96" spans="1:12" x14ac:dyDescent="0.25">
      <c r="A96" s="1">
        <v>45798</v>
      </c>
      <c r="B96">
        <v>96.99</v>
      </c>
      <c r="C96">
        <v>95.9</v>
      </c>
      <c r="D96">
        <v>97</v>
      </c>
      <c r="E96">
        <v>95.9</v>
      </c>
      <c r="F96" t="s">
        <v>136</v>
      </c>
      <c r="G96" s="7">
        <v>2.3099999999999999E-2</v>
      </c>
      <c r="H96" s="2">
        <f t="shared" si="7"/>
        <v>100.56699999999999</v>
      </c>
      <c r="I96" s="2">
        <f t="shared" si="4"/>
        <v>100.19759999999997</v>
      </c>
      <c r="J96" s="3">
        <f t="shared" si="5"/>
        <v>3.2907348242811274E-2</v>
      </c>
      <c r="K96" s="2">
        <f t="shared" si="6"/>
        <v>1.0999999999999943</v>
      </c>
      <c r="L96" s="2">
        <f t="shared" si="8"/>
        <v>0.9249999999999986</v>
      </c>
    </row>
    <row r="97" spans="1:12" x14ac:dyDescent="0.25">
      <c r="A97" s="1">
        <v>45799</v>
      </c>
      <c r="B97">
        <v>97</v>
      </c>
      <c r="C97">
        <v>96.99</v>
      </c>
      <c r="D97">
        <v>97</v>
      </c>
      <c r="E97">
        <v>96.7</v>
      </c>
      <c r="F97" t="s">
        <v>137</v>
      </c>
      <c r="G97" s="7">
        <v>1E-4</v>
      </c>
      <c r="H97" s="2">
        <f t="shared" si="7"/>
        <v>100.31699999999999</v>
      </c>
      <c r="I97" s="2">
        <f t="shared" si="4"/>
        <v>100.07259999999997</v>
      </c>
      <c r="J97" s="3">
        <f t="shared" si="5"/>
        <v>3.3013844515441981E-2</v>
      </c>
      <c r="K97" s="2">
        <f t="shared" si="6"/>
        <v>0.29999999999999716</v>
      </c>
      <c r="L97" s="2">
        <f t="shared" si="8"/>
        <v>0.88349999999999862</v>
      </c>
    </row>
    <row r="98" spans="1:12" x14ac:dyDescent="0.25">
      <c r="A98" s="1">
        <v>45800</v>
      </c>
      <c r="B98">
        <v>97</v>
      </c>
      <c r="C98">
        <v>97</v>
      </c>
      <c r="D98">
        <v>97</v>
      </c>
      <c r="E98">
        <v>97</v>
      </c>
      <c r="F98" t="s">
        <v>39</v>
      </c>
      <c r="G98" s="7">
        <v>0</v>
      </c>
      <c r="H98" s="2">
        <f t="shared" si="7"/>
        <v>100.017</v>
      </c>
      <c r="I98" s="2">
        <f t="shared" si="4"/>
        <v>99.992599999999953</v>
      </c>
      <c r="J98" s="3">
        <f t="shared" si="5"/>
        <v>3.3013844515441981E-2</v>
      </c>
      <c r="K98" s="2">
        <f t="shared" si="6"/>
        <v>0</v>
      </c>
      <c r="L98" s="2">
        <f t="shared" si="8"/>
        <v>0.8284999999999989</v>
      </c>
    </row>
    <row r="99" spans="1:12" x14ac:dyDescent="0.25">
      <c r="A99" s="1">
        <v>45803</v>
      </c>
      <c r="B99">
        <v>96.98</v>
      </c>
      <c r="C99">
        <v>97</v>
      </c>
      <c r="D99">
        <v>97</v>
      </c>
      <c r="E99">
        <v>96.95</v>
      </c>
      <c r="F99" t="s">
        <v>42</v>
      </c>
      <c r="G99" s="7">
        <v>-2.0000000000000001E-4</v>
      </c>
      <c r="H99" s="2">
        <f t="shared" si="7"/>
        <v>99.741500000000002</v>
      </c>
      <c r="I99" s="2">
        <f t="shared" si="4"/>
        <v>99.912399999999948</v>
      </c>
      <c r="J99" s="3">
        <f t="shared" si="5"/>
        <v>3.2800851970181011E-2</v>
      </c>
      <c r="K99" s="2">
        <f t="shared" si="6"/>
        <v>4.9999999999997158E-2</v>
      </c>
      <c r="L99" s="2">
        <f t="shared" si="8"/>
        <v>0.78099999999999881</v>
      </c>
    </row>
    <row r="100" spans="1:12" x14ac:dyDescent="0.25">
      <c r="A100" s="1">
        <v>45804</v>
      </c>
      <c r="B100">
        <v>96.5</v>
      </c>
      <c r="C100">
        <v>96.97</v>
      </c>
      <c r="D100">
        <v>96.97</v>
      </c>
      <c r="E100">
        <v>96.3</v>
      </c>
      <c r="F100" t="s">
        <v>29</v>
      </c>
      <c r="G100" s="7">
        <v>-4.8999999999999998E-3</v>
      </c>
      <c r="H100" s="2">
        <f t="shared" si="7"/>
        <v>99.442000000000007</v>
      </c>
      <c r="I100" s="2">
        <f t="shared" si="4"/>
        <v>99.84039999999996</v>
      </c>
      <c r="J100" s="3">
        <f t="shared" si="5"/>
        <v>2.7689030883919052E-2</v>
      </c>
      <c r="K100" s="2">
        <f t="shared" si="6"/>
        <v>0.67000000000000171</v>
      </c>
      <c r="L100" s="2">
        <f t="shared" si="8"/>
        <v>0.76549999999999874</v>
      </c>
    </row>
    <row r="101" spans="1:12" x14ac:dyDescent="0.25">
      <c r="A101" s="1">
        <v>45805</v>
      </c>
      <c r="B101">
        <v>96.4</v>
      </c>
      <c r="C101">
        <v>96.7</v>
      </c>
      <c r="D101">
        <v>96.7</v>
      </c>
      <c r="E101">
        <v>96.4</v>
      </c>
      <c r="F101" t="s">
        <v>115</v>
      </c>
      <c r="G101" s="7">
        <v>-1E-3</v>
      </c>
      <c r="H101" s="2">
        <f t="shared" si="7"/>
        <v>99.092000000000013</v>
      </c>
      <c r="I101" s="2">
        <f t="shared" si="4"/>
        <v>99.748399999999947</v>
      </c>
      <c r="J101" s="3">
        <f t="shared" si="5"/>
        <v>2.6624068157614422E-2</v>
      </c>
      <c r="K101" s="2">
        <f t="shared" si="6"/>
        <v>0.29999999999999716</v>
      </c>
      <c r="L101" s="2">
        <f t="shared" si="8"/>
        <v>0.70649999999999835</v>
      </c>
    </row>
    <row r="102" spans="1:12" x14ac:dyDescent="0.25">
      <c r="A102" s="1">
        <v>45806</v>
      </c>
      <c r="B102">
        <v>95.8</v>
      </c>
      <c r="C102">
        <v>96.39</v>
      </c>
      <c r="D102">
        <v>96.5</v>
      </c>
      <c r="E102">
        <v>93.01</v>
      </c>
      <c r="F102" t="s">
        <v>138</v>
      </c>
      <c r="G102" s="7">
        <v>-6.1999999999999998E-3</v>
      </c>
      <c r="H102" s="2">
        <f t="shared" si="7"/>
        <v>98.731999999999999</v>
      </c>
      <c r="I102" s="2">
        <f t="shared" si="4"/>
        <v>99.626399999999961</v>
      </c>
      <c r="J102" s="3">
        <f t="shared" si="5"/>
        <v>2.0234291799786863E-2</v>
      </c>
      <c r="K102" s="2">
        <f t="shared" si="6"/>
        <v>3.4899999999999949</v>
      </c>
      <c r="L102" s="2">
        <f t="shared" si="8"/>
        <v>0.83199999999999785</v>
      </c>
    </row>
    <row r="103" spans="1:12" x14ac:dyDescent="0.25">
      <c r="A103" s="1">
        <v>45807</v>
      </c>
      <c r="B103">
        <v>94.5</v>
      </c>
      <c r="C103">
        <v>94.5</v>
      </c>
      <c r="D103">
        <v>95.25</v>
      </c>
      <c r="E103">
        <v>94.1</v>
      </c>
      <c r="F103" t="s">
        <v>49</v>
      </c>
      <c r="G103" s="7">
        <v>-1.3599999999999999E-2</v>
      </c>
      <c r="H103" s="2">
        <f t="shared" si="7"/>
        <v>98.282000000000011</v>
      </c>
      <c r="I103" s="2">
        <f t="shared" si="4"/>
        <v>99.504399999999947</v>
      </c>
      <c r="J103" s="3">
        <f t="shared" si="5"/>
        <v>6.389776357827337E-3</v>
      </c>
      <c r="K103" s="2">
        <f t="shared" si="6"/>
        <v>1.1500000000000057</v>
      </c>
      <c r="L103" s="2">
        <f t="shared" si="8"/>
        <v>0.84449999999999792</v>
      </c>
    </row>
    <row r="104" spans="1:12" x14ac:dyDescent="0.25">
      <c r="A104" s="1">
        <v>45810</v>
      </c>
      <c r="B104">
        <v>94.5</v>
      </c>
      <c r="C104">
        <v>94.5</v>
      </c>
      <c r="D104">
        <v>95</v>
      </c>
      <c r="E104">
        <v>93.5</v>
      </c>
      <c r="F104" t="s">
        <v>27</v>
      </c>
      <c r="G104" s="7">
        <v>0</v>
      </c>
      <c r="H104" s="2">
        <f t="shared" si="7"/>
        <v>97.832000000000008</v>
      </c>
      <c r="I104" s="2">
        <f t="shared" si="4"/>
        <v>99.382599999999968</v>
      </c>
      <c r="J104" s="3">
        <f t="shared" si="5"/>
        <v>6.389776357827337E-3</v>
      </c>
      <c r="K104" s="2">
        <f t="shared" si="6"/>
        <v>1.5</v>
      </c>
      <c r="L104" s="2">
        <f t="shared" si="8"/>
        <v>0.9189999999999976</v>
      </c>
    </row>
    <row r="105" spans="1:12" x14ac:dyDescent="0.25">
      <c r="A105" s="1">
        <v>45811</v>
      </c>
      <c r="B105">
        <v>94</v>
      </c>
      <c r="C105">
        <v>94.5</v>
      </c>
      <c r="D105">
        <v>95</v>
      </c>
      <c r="E105">
        <v>93.4</v>
      </c>
      <c r="F105" t="s">
        <v>139</v>
      </c>
      <c r="G105" s="7">
        <v>-5.3E-3</v>
      </c>
      <c r="H105" s="2">
        <f t="shared" si="7"/>
        <v>97.358500000000006</v>
      </c>
      <c r="I105" s="2">
        <f t="shared" si="4"/>
        <v>99.264599999999973</v>
      </c>
      <c r="J105" s="3">
        <f t="shared" si="5"/>
        <v>1.0649627263044081E-3</v>
      </c>
      <c r="K105" s="2">
        <f t="shared" si="6"/>
        <v>1.5999999999999943</v>
      </c>
      <c r="L105" s="2">
        <f t="shared" si="8"/>
        <v>0.99749999999999728</v>
      </c>
    </row>
    <row r="106" spans="1:12" x14ac:dyDescent="0.25">
      <c r="A106" s="1">
        <v>45812</v>
      </c>
      <c r="B106">
        <v>94.2</v>
      </c>
      <c r="C106">
        <v>95</v>
      </c>
      <c r="D106">
        <v>95</v>
      </c>
      <c r="E106">
        <v>94</v>
      </c>
      <c r="F106" t="s">
        <v>140</v>
      </c>
      <c r="G106" s="7">
        <v>2.0999999999999999E-3</v>
      </c>
      <c r="H106" s="2">
        <f t="shared" si="7"/>
        <v>96.89500000000001</v>
      </c>
      <c r="I106" s="2">
        <f t="shared" si="4"/>
        <v>99.15419999999996</v>
      </c>
      <c r="J106" s="3">
        <f t="shared" si="5"/>
        <v>3.1948881789136685E-3</v>
      </c>
      <c r="K106" s="2">
        <f t="shared" si="6"/>
        <v>1</v>
      </c>
      <c r="L106" s="2">
        <f t="shared" si="8"/>
        <v>0.94749999999999734</v>
      </c>
    </row>
    <row r="107" spans="1:12" x14ac:dyDescent="0.25">
      <c r="A107" s="1">
        <v>45813</v>
      </c>
      <c r="B107">
        <v>94.1</v>
      </c>
      <c r="C107">
        <v>94.2</v>
      </c>
      <c r="D107">
        <v>94.2</v>
      </c>
      <c r="E107">
        <v>94.09</v>
      </c>
      <c r="F107" t="s">
        <v>71</v>
      </c>
      <c r="G107" s="7">
        <v>-1.1000000000000001E-3</v>
      </c>
      <c r="H107" s="2">
        <f t="shared" si="7"/>
        <v>96.429999999999993</v>
      </c>
      <c r="I107" s="2">
        <f t="shared" si="4"/>
        <v>99.04219999999998</v>
      </c>
      <c r="J107" s="3">
        <f t="shared" si="5"/>
        <v>2.1299254526090383E-3</v>
      </c>
      <c r="K107" s="2">
        <f t="shared" si="6"/>
        <v>0.10999999999999943</v>
      </c>
      <c r="L107" s="2">
        <f t="shared" si="8"/>
        <v>0.87799999999999723</v>
      </c>
    </row>
    <row r="108" spans="1:12" x14ac:dyDescent="0.25">
      <c r="A108" s="1">
        <v>45817</v>
      </c>
      <c r="B108">
        <v>94</v>
      </c>
      <c r="C108">
        <v>94.2</v>
      </c>
      <c r="D108">
        <v>94.25</v>
      </c>
      <c r="E108">
        <v>93</v>
      </c>
      <c r="F108" t="s">
        <v>141</v>
      </c>
      <c r="G108" s="7">
        <v>-1.1000000000000001E-3</v>
      </c>
      <c r="H108" s="2">
        <f t="shared" si="7"/>
        <v>95.957499999999996</v>
      </c>
      <c r="I108" s="2">
        <f t="shared" si="4"/>
        <v>98.944199999999981</v>
      </c>
      <c r="J108" s="3">
        <f t="shared" si="5"/>
        <v>1.0649627263044081E-3</v>
      </c>
      <c r="K108" s="2">
        <f t="shared" si="6"/>
        <v>1.25</v>
      </c>
      <c r="L108" s="2">
        <f t="shared" si="8"/>
        <v>0.88799999999999746</v>
      </c>
    </row>
    <row r="109" spans="1:12" x14ac:dyDescent="0.25">
      <c r="A109" s="1">
        <v>45818</v>
      </c>
      <c r="B109">
        <v>94.08</v>
      </c>
      <c r="C109">
        <v>94</v>
      </c>
      <c r="D109">
        <v>94.1</v>
      </c>
      <c r="E109">
        <v>93.61</v>
      </c>
      <c r="F109" t="s">
        <v>79</v>
      </c>
      <c r="G109" s="7">
        <v>8.9999999999999998E-4</v>
      </c>
      <c r="H109" s="2">
        <f t="shared" si="7"/>
        <v>95.796499999999995</v>
      </c>
      <c r="I109" s="2">
        <f t="shared" si="4"/>
        <v>98.847799999999992</v>
      </c>
      <c r="J109" s="3">
        <f t="shared" si="5"/>
        <v>1.9169329073480679E-3</v>
      </c>
      <c r="K109" s="2">
        <f t="shared" si="6"/>
        <v>0.48999999999999488</v>
      </c>
      <c r="L109" s="2">
        <f t="shared" si="8"/>
        <v>0.87249999999999728</v>
      </c>
    </row>
    <row r="110" spans="1:12" x14ac:dyDescent="0.25">
      <c r="A110" s="1">
        <v>45819</v>
      </c>
      <c r="B110">
        <v>93.49</v>
      </c>
      <c r="C110">
        <v>94.1</v>
      </c>
      <c r="D110">
        <v>94.1</v>
      </c>
      <c r="E110">
        <v>91.06</v>
      </c>
      <c r="F110" t="s">
        <v>142</v>
      </c>
      <c r="G110" s="7">
        <v>-6.3E-3</v>
      </c>
      <c r="H110" s="2">
        <f t="shared" si="7"/>
        <v>95.616</v>
      </c>
      <c r="I110" s="2">
        <f t="shared" si="4"/>
        <v>98.744399999999985</v>
      </c>
      <c r="J110" s="3">
        <f t="shared" si="5"/>
        <v>-4.3663471778488949E-3</v>
      </c>
      <c r="K110" s="2">
        <f t="shared" si="6"/>
        <v>3.039999999999992</v>
      </c>
      <c r="L110" s="2">
        <f t="shared" si="8"/>
        <v>1.009499999999997</v>
      </c>
    </row>
    <row r="111" spans="1:12" x14ac:dyDescent="0.25">
      <c r="A111" s="1">
        <v>45820</v>
      </c>
      <c r="B111">
        <v>93.3</v>
      </c>
      <c r="C111">
        <v>92.5</v>
      </c>
      <c r="D111">
        <v>93.39</v>
      </c>
      <c r="E111">
        <v>92.02</v>
      </c>
      <c r="F111" t="s">
        <v>143</v>
      </c>
      <c r="G111" s="7">
        <v>-2E-3</v>
      </c>
      <c r="H111" s="2">
        <f t="shared" si="7"/>
        <v>95.430999999999997</v>
      </c>
      <c r="I111" s="2">
        <f t="shared" si="4"/>
        <v>98.632400000000004</v>
      </c>
      <c r="J111" s="3">
        <f t="shared" si="5"/>
        <v>-6.389776357827559E-3</v>
      </c>
      <c r="K111" s="2">
        <f t="shared" si="6"/>
        <v>1.3700000000000045</v>
      </c>
      <c r="L111" s="2">
        <f t="shared" si="8"/>
        <v>1.0679999999999978</v>
      </c>
    </row>
    <row r="112" spans="1:12" x14ac:dyDescent="0.25">
      <c r="A112" s="1">
        <v>45821</v>
      </c>
      <c r="B112">
        <v>92</v>
      </c>
      <c r="C112">
        <v>92.2</v>
      </c>
      <c r="D112">
        <v>93.3</v>
      </c>
      <c r="E112">
        <v>92</v>
      </c>
      <c r="F112" t="s">
        <v>144</v>
      </c>
      <c r="G112" s="7">
        <v>-1.3899999999999999E-2</v>
      </c>
      <c r="H112" s="2">
        <f t="shared" si="7"/>
        <v>95.181999999999988</v>
      </c>
      <c r="I112" s="2">
        <f t="shared" si="4"/>
        <v>98.502399999999994</v>
      </c>
      <c r="J112" s="3">
        <f t="shared" si="5"/>
        <v>-2.0234291799787085E-2</v>
      </c>
      <c r="K112" s="2">
        <f t="shared" si="6"/>
        <v>1.2999999999999972</v>
      </c>
      <c r="L112" s="2">
        <f t="shared" si="8"/>
        <v>1.1139999999999979</v>
      </c>
    </row>
    <row r="113" spans="1:12" x14ac:dyDescent="0.25">
      <c r="A113" s="1">
        <v>45824</v>
      </c>
      <c r="B113">
        <v>90.65</v>
      </c>
      <c r="C113">
        <v>92</v>
      </c>
      <c r="D113">
        <v>92</v>
      </c>
      <c r="E113">
        <v>90.2</v>
      </c>
      <c r="F113" t="s">
        <v>145</v>
      </c>
      <c r="G113" s="7">
        <v>-1.47E-2</v>
      </c>
      <c r="H113" s="2">
        <f t="shared" si="7"/>
        <v>94.859499999999997</v>
      </c>
      <c r="I113" s="2">
        <f t="shared" si="4"/>
        <v>98.345399999999984</v>
      </c>
      <c r="J113" s="3">
        <f t="shared" si="5"/>
        <v>-3.4611288604898816E-2</v>
      </c>
      <c r="K113" s="2">
        <f t="shared" si="6"/>
        <v>1.7999999999999972</v>
      </c>
      <c r="L113" s="2">
        <f t="shared" si="8"/>
        <v>1.1814999999999984</v>
      </c>
    </row>
    <row r="114" spans="1:12" x14ac:dyDescent="0.25">
      <c r="A114" s="1">
        <v>45825</v>
      </c>
      <c r="B114">
        <v>90.5</v>
      </c>
      <c r="C114">
        <v>90.65</v>
      </c>
      <c r="D114">
        <v>90.98</v>
      </c>
      <c r="E114">
        <v>90</v>
      </c>
      <c r="F114" t="s">
        <v>146</v>
      </c>
      <c r="G114" s="7">
        <v>-1.6999999999999999E-3</v>
      </c>
      <c r="H114" s="2">
        <f t="shared" si="7"/>
        <v>94.53949999999999</v>
      </c>
      <c r="I114" s="2">
        <f t="shared" si="4"/>
        <v>98.185399999999987</v>
      </c>
      <c r="J114" s="3">
        <f t="shared" si="5"/>
        <v>-3.6208732694355761E-2</v>
      </c>
      <c r="K114" s="2">
        <f t="shared" si="6"/>
        <v>0.98000000000000398</v>
      </c>
      <c r="L114" s="2">
        <f t="shared" si="8"/>
        <v>1.220499999999999</v>
      </c>
    </row>
    <row r="115" spans="1:12" x14ac:dyDescent="0.25">
      <c r="A115" s="1">
        <v>45826</v>
      </c>
      <c r="B115">
        <v>90.2</v>
      </c>
      <c r="C115">
        <v>90.6</v>
      </c>
      <c r="D115">
        <v>90.6</v>
      </c>
      <c r="E115">
        <v>90</v>
      </c>
      <c r="F115" t="s">
        <v>11</v>
      </c>
      <c r="G115" s="7">
        <v>-3.3E-3</v>
      </c>
      <c r="H115" s="2">
        <f t="shared" si="7"/>
        <v>94.309499999999986</v>
      </c>
      <c r="I115" s="2">
        <f t="shared" si="4"/>
        <v>98.0124</v>
      </c>
      <c r="J115" s="3">
        <f t="shared" si="5"/>
        <v>-3.9403620873269429E-2</v>
      </c>
      <c r="K115" s="2">
        <f t="shared" si="6"/>
        <v>0.59999999999999432</v>
      </c>
      <c r="L115" s="2">
        <f t="shared" si="8"/>
        <v>1.1049999999999982</v>
      </c>
    </row>
    <row r="116" spans="1:12" x14ac:dyDescent="0.25">
      <c r="A116" s="1">
        <v>45827</v>
      </c>
      <c r="B116">
        <v>92.99</v>
      </c>
      <c r="C116">
        <v>90.38</v>
      </c>
      <c r="D116">
        <v>93</v>
      </c>
      <c r="E116">
        <v>90.2</v>
      </c>
      <c r="F116" t="s">
        <v>71</v>
      </c>
      <c r="G116" s="7">
        <v>3.09E-2</v>
      </c>
      <c r="H116" s="2">
        <f t="shared" si="7"/>
        <v>94.109499999999997</v>
      </c>
      <c r="I116" s="2">
        <f t="shared" ref="I116:I179" si="9">AVERAGE(B67:B116)</f>
        <v>97.91219999999997</v>
      </c>
      <c r="J116" s="3">
        <f t="shared" si="5"/>
        <v>-9.6911608093718238E-3</v>
      </c>
      <c r="K116" s="2">
        <f t="shared" si="6"/>
        <v>2.7999999999999972</v>
      </c>
      <c r="L116" s="2">
        <f t="shared" si="8"/>
        <v>1.1899999999999984</v>
      </c>
    </row>
    <row r="117" spans="1:12" x14ac:dyDescent="0.25">
      <c r="A117" s="1">
        <v>45828</v>
      </c>
      <c r="B117">
        <v>92.79</v>
      </c>
      <c r="C117">
        <v>92.99</v>
      </c>
      <c r="D117">
        <v>92.99</v>
      </c>
      <c r="E117">
        <v>92.5</v>
      </c>
      <c r="F117" t="s">
        <v>46</v>
      </c>
      <c r="G117" s="7">
        <v>-2.2000000000000001E-3</v>
      </c>
      <c r="H117" s="2">
        <f t="shared" si="7"/>
        <v>93.899000000000001</v>
      </c>
      <c r="I117" s="2">
        <f t="shared" si="9"/>
        <v>97.795999999999992</v>
      </c>
      <c r="J117" s="3">
        <f t="shared" si="5"/>
        <v>-1.1821086261980862E-2</v>
      </c>
      <c r="K117" s="2">
        <f t="shared" si="6"/>
        <v>0.48999999999999488</v>
      </c>
      <c r="L117" s="2">
        <f t="shared" si="8"/>
        <v>1.1994999999999982</v>
      </c>
    </row>
    <row r="118" spans="1:12" x14ac:dyDescent="0.25">
      <c r="A118" s="1">
        <v>45831</v>
      </c>
      <c r="B118">
        <v>92.02</v>
      </c>
      <c r="C118">
        <v>92.79</v>
      </c>
      <c r="D118">
        <v>92.79</v>
      </c>
      <c r="E118">
        <v>92</v>
      </c>
      <c r="F118" t="s">
        <v>58</v>
      </c>
      <c r="G118" s="7">
        <v>-8.3000000000000001E-3</v>
      </c>
      <c r="H118" s="2">
        <f t="shared" si="7"/>
        <v>93.65</v>
      </c>
      <c r="I118" s="2">
        <f t="shared" si="9"/>
        <v>97.664400000000001</v>
      </c>
      <c r="J118" s="3">
        <f t="shared" si="5"/>
        <v>-2.0021299254526226E-2</v>
      </c>
      <c r="K118" s="2">
        <f t="shared" si="6"/>
        <v>0.79000000000000625</v>
      </c>
      <c r="L118" s="2">
        <f t="shared" si="8"/>
        <v>1.2389999999999985</v>
      </c>
    </row>
    <row r="119" spans="1:12" x14ac:dyDescent="0.25">
      <c r="A119" s="1">
        <v>45832</v>
      </c>
      <c r="B119">
        <v>94</v>
      </c>
      <c r="C119">
        <v>92.2</v>
      </c>
      <c r="D119">
        <v>94.28</v>
      </c>
      <c r="E119">
        <v>92.2</v>
      </c>
      <c r="F119" t="s">
        <v>110</v>
      </c>
      <c r="G119" s="7">
        <v>2.1499999999999998E-2</v>
      </c>
      <c r="H119" s="2">
        <f t="shared" si="7"/>
        <v>93.501000000000005</v>
      </c>
      <c r="I119" s="2">
        <f t="shared" si="9"/>
        <v>97.564799999999991</v>
      </c>
      <c r="J119" s="3">
        <f t="shared" si="5"/>
        <v>1.0649627263044081E-3</v>
      </c>
      <c r="K119" s="2">
        <f t="shared" si="6"/>
        <v>2.0799999999999983</v>
      </c>
      <c r="L119" s="2">
        <f t="shared" si="8"/>
        <v>1.3404999999999987</v>
      </c>
    </row>
    <row r="120" spans="1:12" x14ac:dyDescent="0.25">
      <c r="A120" s="1">
        <v>45833</v>
      </c>
      <c r="B120">
        <v>94</v>
      </c>
      <c r="C120">
        <v>94</v>
      </c>
      <c r="D120">
        <v>94</v>
      </c>
      <c r="E120">
        <v>93</v>
      </c>
      <c r="F120" t="s">
        <v>147</v>
      </c>
      <c r="G120" s="7">
        <v>0</v>
      </c>
      <c r="H120" s="2">
        <f t="shared" si="7"/>
        <v>93.376000000000005</v>
      </c>
      <c r="I120" s="2">
        <f t="shared" si="9"/>
        <v>97.460800000000006</v>
      </c>
      <c r="J120" s="3">
        <f t="shared" si="5"/>
        <v>1.0649627263044081E-3</v>
      </c>
      <c r="K120" s="2">
        <f t="shared" si="6"/>
        <v>1</v>
      </c>
      <c r="L120" s="2">
        <f t="shared" si="8"/>
        <v>1.3569999999999987</v>
      </c>
    </row>
    <row r="121" spans="1:12" x14ac:dyDescent="0.25">
      <c r="A121" s="1">
        <v>45835</v>
      </c>
      <c r="B121">
        <v>94.15</v>
      </c>
      <c r="C121">
        <v>94</v>
      </c>
      <c r="D121">
        <v>94.15</v>
      </c>
      <c r="E121">
        <v>94</v>
      </c>
      <c r="F121" t="s">
        <v>19</v>
      </c>
      <c r="G121" s="7">
        <v>1.6000000000000001E-3</v>
      </c>
      <c r="H121" s="2">
        <f t="shared" si="7"/>
        <v>93.263500000000008</v>
      </c>
      <c r="I121" s="2">
        <f t="shared" si="9"/>
        <v>97.343999999999994</v>
      </c>
      <c r="J121" s="3">
        <f t="shared" si="5"/>
        <v>2.6624068157614644E-3</v>
      </c>
      <c r="K121" s="2">
        <f t="shared" si="6"/>
        <v>0.15000000000000568</v>
      </c>
      <c r="L121" s="2">
        <f t="shared" si="8"/>
        <v>1.349499999999999</v>
      </c>
    </row>
    <row r="122" spans="1:12" x14ac:dyDescent="0.25">
      <c r="A122" s="1">
        <v>45838</v>
      </c>
      <c r="B122">
        <v>94</v>
      </c>
      <c r="C122">
        <v>94</v>
      </c>
      <c r="D122">
        <v>94.15</v>
      </c>
      <c r="E122">
        <v>92.7</v>
      </c>
      <c r="F122" t="s">
        <v>46</v>
      </c>
      <c r="G122" s="7">
        <v>-1.6000000000000001E-3</v>
      </c>
      <c r="H122" s="2">
        <f t="shared" si="7"/>
        <v>93.173500000000004</v>
      </c>
      <c r="I122" s="2">
        <f t="shared" si="9"/>
        <v>97.224199999999982</v>
      </c>
      <c r="J122" s="3">
        <f t="shared" si="5"/>
        <v>1.0649627263044081E-3</v>
      </c>
      <c r="K122" s="2">
        <f t="shared" si="6"/>
        <v>1.4500000000000028</v>
      </c>
      <c r="L122" s="2">
        <f t="shared" si="8"/>
        <v>1.2474999999999994</v>
      </c>
    </row>
    <row r="123" spans="1:12" x14ac:dyDescent="0.25">
      <c r="A123" s="1">
        <v>45839</v>
      </c>
      <c r="B123">
        <v>94</v>
      </c>
      <c r="C123">
        <v>93.5</v>
      </c>
      <c r="D123">
        <v>94.15</v>
      </c>
      <c r="E123">
        <v>93.5</v>
      </c>
      <c r="F123" t="s">
        <v>30</v>
      </c>
      <c r="G123" s="7">
        <v>0</v>
      </c>
      <c r="H123" s="2">
        <f t="shared" si="7"/>
        <v>93.148499999999999</v>
      </c>
      <c r="I123" s="2">
        <f t="shared" si="9"/>
        <v>97.064400000000006</v>
      </c>
      <c r="J123" s="3">
        <f t="shared" si="5"/>
        <v>1.0649627263044081E-3</v>
      </c>
      <c r="K123" s="2">
        <f t="shared" si="6"/>
        <v>0.65000000000000568</v>
      </c>
      <c r="L123" s="2">
        <f t="shared" si="8"/>
        <v>1.2224999999999995</v>
      </c>
    </row>
    <row r="124" spans="1:12" x14ac:dyDescent="0.25">
      <c r="A124" s="1">
        <v>45840</v>
      </c>
      <c r="B124">
        <v>94</v>
      </c>
      <c r="C124">
        <v>94.15</v>
      </c>
      <c r="D124">
        <v>94.15</v>
      </c>
      <c r="E124">
        <v>93.5</v>
      </c>
      <c r="F124" t="s">
        <v>23</v>
      </c>
      <c r="G124" s="7">
        <v>0</v>
      </c>
      <c r="H124" s="2">
        <f t="shared" si="7"/>
        <v>93.123499999999993</v>
      </c>
      <c r="I124" s="2">
        <f t="shared" si="9"/>
        <v>96.924599999999998</v>
      </c>
      <c r="J124" s="3">
        <f t="shared" si="5"/>
        <v>1.0649627263044081E-3</v>
      </c>
      <c r="K124" s="2">
        <f t="shared" si="6"/>
        <v>0.65000000000000568</v>
      </c>
      <c r="L124" s="2">
        <f t="shared" si="8"/>
        <v>1.1799999999999997</v>
      </c>
    </row>
    <row r="125" spans="1:12" x14ac:dyDescent="0.25">
      <c r="A125" s="1">
        <v>45841</v>
      </c>
      <c r="B125">
        <v>94</v>
      </c>
      <c r="C125">
        <v>93.01</v>
      </c>
      <c r="D125">
        <v>94</v>
      </c>
      <c r="E125">
        <v>91.5</v>
      </c>
      <c r="F125" t="s">
        <v>16</v>
      </c>
      <c r="G125" s="7">
        <v>0</v>
      </c>
      <c r="H125" s="2">
        <f t="shared" si="7"/>
        <v>93.123500000000007</v>
      </c>
      <c r="I125" s="2">
        <f t="shared" si="9"/>
        <v>96.767199999999988</v>
      </c>
      <c r="J125" s="3">
        <f t="shared" si="5"/>
        <v>1.0649627263044081E-3</v>
      </c>
      <c r="K125" s="2">
        <f t="shared" si="6"/>
        <v>2.5</v>
      </c>
      <c r="L125" s="2">
        <f t="shared" si="8"/>
        <v>1.2250000000000001</v>
      </c>
    </row>
    <row r="126" spans="1:12" x14ac:dyDescent="0.25">
      <c r="A126" s="1">
        <v>45842</v>
      </c>
      <c r="B126">
        <v>94</v>
      </c>
      <c r="C126">
        <v>93.7</v>
      </c>
      <c r="D126">
        <v>95</v>
      </c>
      <c r="E126">
        <v>93.7</v>
      </c>
      <c r="F126" t="s">
        <v>148</v>
      </c>
      <c r="G126" s="7">
        <v>0</v>
      </c>
      <c r="H126" s="2">
        <f t="shared" si="7"/>
        <v>93.113500000000016</v>
      </c>
      <c r="I126" s="2">
        <f t="shared" si="9"/>
        <v>96.609799999999993</v>
      </c>
      <c r="J126" s="3">
        <f t="shared" si="5"/>
        <v>1.0649627263044081E-3</v>
      </c>
      <c r="K126" s="2">
        <f t="shared" si="6"/>
        <v>1.2999999999999972</v>
      </c>
      <c r="L126" s="2">
        <f t="shared" si="8"/>
        <v>1.2399999999999998</v>
      </c>
    </row>
    <row r="127" spans="1:12" x14ac:dyDescent="0.25">
      <c r="A127" s="1">
        <v>45845</v>
      </c>
      <c r="B127">
        <v>94</v>
      </c>
      <c r="C127">
        <v>94</v>
      </c>
      <c r="D127">
        <v>94.99</v>
      </c>
      <c r="E127">
        <v>94</v>
      </c>
      <c r="F127" t="s">
        <v>149</v>
      </c>
      <c r="G127" s="7">
        <v>0</v>
      </c>
      <c r="H127" s="2">
        <f t="shared" si="7"/>
        <v>93.108500000000006</v>
      </c>
      <c r="I127" s="2">
        <f t="shared" si="9"/>
        <v>96.449799999999996</v>
      </c>
      <c r="J127" s="3">
        <f t="shared" si="5"/>
        <v>1.0649627263044081E-3</v>
      </c>
      <c r="K127" s="2">
        <f t="shared" si="6"/>
        <v>0.98999999999999488</v>
      </c>
      <c r="L127" s="2">
        <f t="shared" si="8"/>
        <v>1.2839999999999996</v>
      </c>
    </row>
    <row r="128" spans="1:12" x14ac:dyDescent="0.25">
      <c r="A128" s="1">
        <v>45846</v>
      </c>
      <c r="B128">
        <v>94</v>
      </c>
      <c r="C128">
        <v>93.99</v>
      </c>
      <c r="D128">
        <v>94.2</v>
      </c>
      <c r="E128">
        <v>93.8</v>
      </c>
      <c r="F128" t="s">
        <v>150</v>
      </c>
      <c r="G128" s="7">
        <v>0</v>
      </c>
      <c r="H128" s="2">
        <f t="shared" si="7"/>
        <v>93.108500000000006</v>
      </c>
      <c r="I128" s="2">
        <f t="shared" si="9"/>
        <v>96.269799999999975</v>
      </c>
      <c r="J128" s="3">
        <f t="shared" si="5"/>
        <v>1.0649627263044081E-3</v>
      </c>
      <c r="K128" s="2">
        <f t="shared" si="6"/>
        <v>0.40000000000000568</v>
      </c>
      <c r="L128" s="2">
        <f t="shared" si="8"/>
        <v>1.2414999999999998</v>
      </c>
    </row>
    <row r="129" spans="1:12" x14ac:dyDescent="0.25">
      <c r="A129" s="1">
        <v>45847</v>
      </c>
      <c r="B129">
        <v>94</v>
      </c>
      <c r="C129">
        <v>94</v>
      </c>
      <c r="D129">
        <v>94</v>
      </c>
      <c r="E129">
        <v>93.8</v>
      </c>
      <c r="F129" t="s">
        <v>65</v>
      </c>
      <c r="G129" s="7">
        <v>0</v>
      </c>
      <c r="H129" s="2">
        <f t="shared" si="7"/>
        <v>93.104500000000002</v>
      </c>
      <c r="I129" s="2">
        <f t="shared" si="9"/>
        <v>96.1</v>
      </c>
      <c r="J129" s="3">
        <f t="shared" si="5"/>
        <v>1.0649627263044081E-3</v>
      </c>
      <c r="K129" s="2">
        <f t="shared" si="6"/>
        <v>0.20000000000000284</v>
      </c>
      <c r="L129" s="2">
        <f t="shared" si="8"/>
        <v>1.2270000000000003</v>
      </c>
    </row>
    <row r="130" spans="1:12" x14ac:dyDescent="0.25">
      <c r="A130" s="1">
        <v>45848</v>
      </c>
      <c r="B130">
        <v>93.9</v>
      </c>
      <c r="C130">
        <v>94</v>
      </c>
      <c r="D130">
        <v>95</v>
      </c>
      <c r="E130">
        <v>93.9</v>
      </c>
      <c r="F130" t="s">
        <v>151</v>
      </c>
      <c r="G130" s="7">
        <v>-1.1000000000000001E-3</v>
      </c>
      <c r="H130" s="2">
        <f t="shared" si="7"/>
        <v>93.125</v>
      </c>
      <c r="I130" s="2">
        <f t="shared" si="9"/>
        <v>95.928200000000004</v>
      </c>
      <c r="J130" s="3">
        <f t="shared" si="5"/>
        <v>0</v>
      </c>
      <c r="K130" s="2">
        <f t="shared" si="6"/>
        <v>1.0999999999999943</v>
      </c>
      <c r="L130" s="2">
        <f t="shared" si="8"/>
        <v>1.1300000000000003</v>
      </c>
    </row>
    <row r="131" spans="1:12" x14ac:dyDescent="0.25">
      <c r="A131" s="1">
        <v>45849</v>
      </c>
      <c r="B131">
        <v>94</v>
      </c>
      <c r="C131">
        <v>94</v>
      </c>
      <c r="D131">
        <v>94</v>
      </c>
      <c r="E131">
        <v>93.9</v>
      </c>
      <c r="F131" t="s">
        <v>152</v>
      </c>
      <c r="G131" s="7">
        <v>1.1000000000000001E-3</v>
      </c>
      <c r="H131" s="2">
        <f t="shared" si="7"/>
        <v>93.16</v>
      </c>
      <c r="I131" s="2">
        <f t="shared" si="9"/>
        <v>95.740199999999987</v>
      </c>
      <c r="J131" s="3">
        <f t="shared" ref="J131:J194" si="10">(B131/$B$2)-1</f>
        <v>1.0649627263044081E-3</v>
      </c>
      <c r="K131" s="2">
        <f t="shared" ref="K131:K194" si="11">D131-E131</f>
        <v>9.9999999999994316E-2</v>
      </c>
      <c r="L131" s="2">
        <f t="shared" si="8"/>
        <v>1.0665</v>
      </c>
    </row>
    <row r="132" spans="1:12" x14ac:dyDescent="0.25">
      <c r="A132" s="1">
        <v>45852</v>
      </c>
      <c r="B132">
        <v>94</v>
      </c>
      <c r="C132">
        <v>94</v>
      </c>
      <c r="D132">
        <v>95.49</v>
      </c>
      <c r="E132">
        <v>93.81</v>
      </c>
      <c r="F132" t="s">
        <v>153</v>
      </c>
      <c r="G132" s="7">
        <v>0</v>
      </c>
      <c r="H132" s="2">
        <f t="shared" si="7"/>
        <v>93.260000000000019</v>
      </c>
      <c r="I132" s="2">
        <f t="shared" si="9"/>
        <v>95.56019999999998</v>
      </c>
      <c r="J132" s="3">
        <f t="shared" si="10"/>
        <v>1.0649627263044081E-3</v>
      </c>
      <c r="K132" s="2">
        <f t="shared" si="11"/>
        <v>1.6799999999999926</v>
      </c>
      <c r="L132" s="2">
        <f t="shared" si="8"/>
        <v>1.0854999999999997</v>
      </c>
    </row>
    <row r="133" spans="1:12" x14ac:dyDescent="0.25">
      <c r="A133" s="1">
        <v>45853</v>
      </c>
      <c r="B133">
        <v>94.98</v>
      </c>
      <c r="C133">
        <v>94</v>
      </c>
      <c r="D133">
        <v>95</v>
      </c>
      <c r="E133">
        <v>94</v>
      </c>
      <c r="F133" t="s">
        <v>154</v>
      </c>
      <c r="G133" s="7">
        <v>1.04E-2</v>
      </c>
      <c r="H133" s="2">
        <f t="shared" si="7"/>
        <v>93.476500000000016</v>
      </c>
      <c r="I133" s="2">
        <f t="shared" si="9"/>
        <v>95.38979999999998</v>
      </c>
      <c r="J133" s="3">
        <f t="shared" si="10"/>
        <v>1.1501597444089517E-2</v>
      </c>
      <c r="K133" s="2">
        <f t="shared" si="11"/>
        <v>1</v>
      </c>
      <c r="L133" s="2">
        <f t="shared" si="8"/>
        <v>1.0454999999999999</v>
      </c>
    </row>
    <row r="134" spans="1:12" x14ac:dyDescent="0.25">
      <c r="A134" s="1">
        <v>45854</v>
      </c>
      <c r="B134">
        <v>94.5</v>
      </c>
      <c r="C134">
        <v>94.01</v>
      </c>
      <c r="D134">
        <v>94.98</v>
      </c>
      <c r="E134">
        <v>94.01</v>
      </c>
      <c r="F134" t="s">
        <v>69</v>
      </c>
      <c r="G134" s="7">
        <v>-5.1000000000000004E-3</v>
      </c>
      <c r="H134" s="2">
        <f t="shared" si="7"/>
        <v>93.676500000000004</v>
      </c>
      <c r="I134" s="2">
        <f t="shared" si="9"/>
        <v>95.209799999999973</v>
      </c>
      <c r="J134" s="3">
        <f t="shared" si="10"/>
        <v>6.389776357827337E-3</v>
      </c>
      <c r="K134" s="2">
        <f t="shared" si="11"/>
        <v>0.96999999999999886</v>
      </c>
      <c r="L134" s="2">
        <f t="shared" si="8"/>
        <v>1.0449999999999995</v>
      </c>
    </row>
    <row r="135" spans="1:12" x14ac:dyDescent="0.25">
      <c r="A135" s="1">
        <v>45855</v>
      </c>
      <c r="B135">
        <v>94.4</v>
      </c>
      <c r="C135">
        <v>94.61</v>
      </c>
      <c r="D135">
        <v>94.98</v>
      </c>
      <c r="E135">
        <v>94.35</v>
      </c>
      <c r="F135" t="s">
        <v>155</v>
      </c>
      <c r="G135" s="7">
        <v>-1.1000000000000001E-3</v>
      </c>
      <c r="H135" s="2">
        <f t="shared" si="7"/>
        <v>93.886500000000012</v>
      </c>
      <c r="I135" s="2">
        <f t="shared" si="9"/>
        <v>95.028399999999962</v>
      </c>
      <c r="J135" s="3">
        <f t="shared" si="10"/>
        <v>5.3248136315229289E-3</v>
      </c>
      <c r="K135" s="2">
        <f t="shared" si="11"/>
        <v>0.63000000000000966</v>
      </c>
      <c r="L135" s="2">
        <f t="shared" si="8"/>
        <v>1.0465000000000004</v>
      </c>
    </row>
    <row r="136" spans="1:12" x14ac:dyDescent="0.25">
      <c r="A136" s="1">
        <v>45856</v>
      </c>
      <c r="B136">
        <v>94.4</v>
      </c>
      <c r="C136">
        <v>94.5</v>
      </c>
      <c r="D136">
        <v>94.5</v>
      </c>
      <c r="E136">
        <v>94</v>
      </c>
      <c r="F136" t="s">
        <v>61</v>
      </c>
      <c r="G136" s="7">
        <v>0</v>
      </c>
      <c r="H136" s="2">
        <f t="shared" si="7"/>
        <v>93.957000000000022</v>
      </c>
      <c r="I136" s="2">
        <f t="shared" si="9"/>
        <v>94.846999999999966</v>
      </c>
      <c r="J136" s="3">
        <f t="shared" si="10"/>
        <v>5.3248136315229289E-3</v>
      </c>
      <c r="K136" s="2">
        <f t="shared" si="11"/>
        <v>0.5</v>
      </c>
      <c r="L136" s="2">
        <f t="shared" si="8"/>
        <v>0.93150000000000044</v>
      </c>
    </row>
    <row r="137" spans="1:12" x14ac:dyDescent="0.25">
      <c r="A137" s="1">
        <v>45859</v>
      </c>
      <c r="B137">
        <v>94.6</v>
      </c>
      <c r="C137">
        <v>94.5</v>
      </c>
      <c r="D137">
        <v>94.6</v>
      </c>
      <c r="E137">
        <v>94.5</v>
      </c>
      <c r="F137" t="s">
        <v>15</v>
      </c>
      <c r="G137" s="7">
        <v>2.0999999999999999E-3</v>
      </c>
      <c r="H137" s="2">
        <f t="shared" si="7"/>
        <v>94.047500000000014</v>
      </c>
      <c r="I137" s="2">
        <f t="shared" si="9"/>
        <v>94.670999999999992</v>
      </c>
      <c r="J137" s="3">
        <f t="shared" si="10"/>
        <v>7.4547390841319672E-3</v>
      </c>
      <c r="K137" s="2">
        <f t="shared" si="11"/>
        <v>9.9999999999994316E-2</v>
      </c>
      <c r="L137" s="2">
        <f t="shared" si="8"/>
        <v>0.91200000000000048</v>
      </c>
    </row>
    <row r="138" spans="1:12" x14ac:dyDescent="0.25">
      <c r="A138" s="1">
        <v>45860</v>
      </c>
      <c r="B138">
        <v>93.8</v>
      </c>
      <c r="C138">
        <v>94.3</v>
      </c>
      <c r="D138">
        <v>94.5</v>
      </c>
      <c r="E138">
        <v>93.8</v>
      </c>
      <c r="F138" t="s">
        <v>73</v>
      </c>
      <c r="G138" s="7">
        <v>-8.5000000000000006E-3</v>
      </c>
      <c r="H138" s="2">
        <f t="shared" si="7"/>
        <v>94.136500000000012</v>
      </c>
      <c r="I138" s="2">
        <f t="shared" si="9"/>
        <v>94.47799999999998</v>
      </c>
      <c r="J138" s="3">
        <f t="shared" si="10"/>
        <v>-1.0649627263046302E-3</v>
      </c>
      <c r="K138" s="2">
        <f t="shared" si="11"/>
        <v>0.70000000000000284</v>
      </c>
      <c r="L138" s="2">
        <f t="shared" si="8"/>
        <v>0.90750000000000031</v>
      </c>
    </row>
    <row r="139" spans="1:12" x14ac:dyDescent="0.25">
      <c r="A139" s="1">
        <v>45861</v>
      </c>
      <c r="B139">
        <v>94.3</v>
      </c>
      <c r="C139">
        <v>94</v>
      </c>
      <c r="D139">
        <v>94.8</v>
      </c>
      <c r="E139">
        <v>93.81</v>
      </c>
      <c r="F139" t="s">
        <v>156</v>
      </c>
      <c r="G139" s="7">
        <v>5.3E-3</v>
      </c>
      <c r="H139" s="2">
        <f t="shared" si="7"/>
        <v>94.151499999999999</v>
      </c>
      <c r="I139" s="2">
        <f t="shared" si="9"/>
        <v>94.417999999999992</v>
      </c>
      <c r="J139" s="3">
        <f t="shared" si="10"/>
        <v>4.2598509052182987E-3</v>
      </c>
      <c r="K139" s="2">
        <f t="shared" si="11"/>
        <v>0.98999999999999488</v>
      </c>
      <c r="L139" s="2">
        <f t="shared" si="8"/>
        <v>0.85300000000000009</v>
      </c>
    </row>
    <row r="140" spans="1:12" x14ac:dyDescent="0.25">
      <c r="A140" s="1">
        <v>45862</v>
      </c>
      <c r="B140">
        <v>94.2</v>
      </c>
      <c r="C140">
        <v>94.3</v>
      </c>
      <c r="D140">
        <v>94.3</v>
      </c>
      <c r="E140">
        <v>94</v>
      </c>
      <c r="F140" t="s">
        <v>105</v>
      </c>
      <c r="G140" s="7">
        <v>-1.1000000000000001E-3</v>
      </c>
      <c r="H140" s="2">
        <f t="shared" si="7"/>
        <v>94.161500000000004</v>
      </c>
      <c r="I140" s="2">
        <f t="shared" si="9"/>
        <v>94.359999999999985</v>
      </c>
      <c r="J140" s="3">
        <f t="shared" si="10"/>
        <v>3.1948881789136685E-3</v>
      </c>
      <c r="K140" s="2">
        <f t="shared" si="11"/>
        <v>0.29999999999999716</v>
      </c>
      <c r="L140" s="2">
        <f t="shared" si="8"/>
        <v>0.81799999999999995</v>
      </c>
    </row>
    <row r="141" spans="1:12" x14ac:dyDescent="0.25">
      <c r="A141" s="1">
        <v>45866</v>
      </c>
      <c r="B141">
        <v>94.2</v>
      </c>
      <c r="C141">
        <v>94.3</v>
      </c>
      <c r="D141">
        <v>94.3</v>
      </c>
      <c r="E141">
        <v>94</v>
      </c>
      <c r="F141" t="s">
        <v>157</v>
      </c>
      <c r="G141" s="7">
        <v>0</v>
      </c>
      <c r="H141" s="2">
        <f t="shared" si="7"/>
        <v>94.164000000000016</v>
      </c>
      <c r="I141" s="2">
        <f t="shared" si="9"/>
        <v>94.304000000000002</v>
      </c>
      <c r="J141" s="3">
        <f t="shared" si="10"/>
        <v>3.1948881789136685E-3</v>
      </c>
      <c r="K141" s="2">
        <f t="shared" si="11"/>
        <v>0.29999999999999716</v>
      </c>
      <c r="L141" s="2">
        <f t="shared" si="8"/>
        <v>0.82549999999999957</v>
      </c>
    </row>
    <row r="142" spans="1:12" x14ac:dyDescent="0.25">
      <c r="A142" s="1">
        <v>45867</v>
      </c>
      <c r="B142">
        <v>93.8</v>
      </c>
      <c r="C142">
        <v>94</v>
      </c>
      <c r="D142">
        <v>94</v>
      </c>
      <c r="E142">
        <v>93</v>
      </c>
      <c r="F142" t="s">
        <v>37</v>
      </c>
      <c r="G142" s="7">
        <v>-4.1999999999999997E-3</v>
      </c>
      <c r="H142" s="2">
        <f t="shared" si="7"/>
        <v>94.153999999999996</v>
      </c>
      <c r="I142" s="2">
        <f t="shared" si="9"/>
        <v>94.240400000000008</v>
      </c>
      <c r="J142" s="3">
        <f t="shared" si="10"/>
        <v>-1.0649627263046302E-3</v>
      </c>
      <c r="K142" s="2">
        <f t="shared" si="11"/>
        <v>1</v>
      </c>
      <c r="L142" s="2">
        <f t="shared" si="8"/>
        <v>0.80299999999999938</v>
      </c>
    </row>
    <row r="143" spans="1:12" x14ac:dyDescent="0.25">
      <c r="A143" s="1">
        <v>45868</v>
      </c>
      <c r="B143">
        <v>94</v>
      </c>
      <c r="C143">
        <v>94.3</v>
      </c>
      <c r="D143">
        <v>94.3</v>
      </c>
      <c r="E143">
        <v>93.5</v>
      </c>
      <c r="F143" t="s">
        <v>158</v>
      </c>
      <c r="G143" s="7">
        <v>2.0999999999999999E-3</v>
      </c>
      <c r="H143" s="2">
        <f t="shared" si="7"/>
        <v>94.154000000000011</v>
      </c>
      <c r="I143" s="2">
        <f t="shared" si="9"/>
        <v>94.178399999999996</v>
      </c>
      <c r="J143" s="3">
        <f t="shared" si="10"/>
        <v>1.0649627263044081E-3</v>
      </c>
      <c r="K143" s="2">
        <f t="shared" si="11"/>
        <v>0.79999999999999716</v>
      </c>
      <c r="L143" s="2">
        <f t="shared" si="8"/>
        <v>0.810499999999999</v>
      </c>
    </row>
    <row r="144" spans="1:12" x14ac:dyDescent="0.25">
      <c r="A144" s="1">
        <v>45869</v>
      </c>
      <c r="B144">
        <v>94</v>
      </c>
      <c r="C144">
        <v>94.01</v>
      </c>
      <c r="D144">
        <v>94.25</v>
      </c>
      <c r="E144">
        <v>93.81</v>
      </c>
      <c r="F144" t="s">
        <v>72</v>
      </c>
      <c r="G144" s="7">
        <v>0</v>
      </c>
      <c r="H144" s="2">
        <f t="shared" si="7"/>
        <v>94.153999999999996</v>
      </c>
      <c r="I144" s="2">
        <f t="shared" si="9"/>
        <v>94.120399999999989</v>
      </c>
      <c r="J144" s="3">
        <f t="shared" si="10"/>
        <v>1.0649627263044081E-3</v>
      </c>
      <c r="K144" s="2">
        <f t="shared" si="11"/>
        <v>0.43999999999999773</v>
      </c>
      <c r="L144" s="2">
        <f t="shared" si="8"/>
        <v>0.7999999999999986</v>
      </c>
    </row>
    <row r="145" spans="1:12" x14ac:dyDescent="0.25">
      <c r="A145" s="1">
        <v>45870</v>
      </c>
      <c r="B145">
        <v>94</v>
      </c>
      <c r="C145">
        <v>94.3</v>
      </c>
      <c r="D145">
        <v>94.3</v>
      </c>
      <c r="E145">
        <v>93.8</v>
      </c>
      <c r="F145" t="s">
        <v>155</v>
      </c>
      <c r="G145" s="7">
        <v>0</v>
      </c>
      <c r="H145" s="2">
        <f t="shared" si="7"/>
        <v>94.153999999999996</v>
      </c>
      <c r="I145" s="2">
        <f t="shared" si="9"/>
        <v>94.104399999999998</v>
      </c>
      <c r="J145" s="3">
        <f t="shared" si="10"/>
        <v>1.0649627263044081E-3</v>
      </c>
      <c r="K145" s="2">
        <f t="shared" si="11"/>
        <v>0.5</v>
      </c>
      <c r="L145" s="2">
        <f t="shared" si="8"/>
        <v>0.69999999999999862</v>
      </c>
    </row>
    <row r="146" spans="1:12" x14ac:dyDescent="0.25">
      <c r="A146" s="1">
        <v>45873</v>
      </c>
      <c r="B146">
        <v>93.95</v>
      </c>
      <c r="C146">
        <v>94</v>
      </c>
      <c r="D146">
        <v>94</v>
      </c>
      <c r="E146">
        <v>93.5</v>
      </c>
      <c r="F146" t="s">
        <v>35</v>
      </c>
      <c r="G146" s="7">
        <v>-5.0000000000000001E-4</v>
      </c>
      <c r="H146" s="2">
        <f t="shared" si="7"/>
        <v>94.151499999999999</v>
      </c>
      <c r="I146" s="2">
        <f t="shared" si="9"/>
        <v>94.043600000000012</v>
      </c>
      <c r="J146" s="3">
        <f t="shared" si="10"/>
        <v>5.3248136315220407E-4</v>
      </c>
      <c r="K146" s="2">
        <f t="shared" si="11"/>
        <v>0.5</v>
      </c>
      <c r="L146" s="2">
        <f t="shared" si="8"/>
        <v>0.6599999999999987</v>
      </c>
    </row>
    <row r="147" spans="1:12" x14ac:dyDescent="0.25">
      <c r="A147" s="1">
        <v>45874</v>
      </c>
      <c r="B147">
        <v>93.9</v>
      </c>
      <c r="C147">
        <v>93.81</v>
      </c>
      <c r="D147">
        <v>93.9</v>
      </c>
      <c r="E147">
        <v>93.81</v>
      </c>
      <c r="F147" t="s">
        <v>59</v>
      </c>
      <c r="G147" s="7">
        <v>-5.0000000000000001E-4</v>
      </c>
      <c r="H147" s="2">
        <f t="shared" si="7"/>
        <v>94.146500000000003</v>
      </c>
      <c r="I147" s="2">
        <f t="shared" si="9"/>
        <v>93.9816</v>
      </c>
      <c r="J147" s="3">
        <f t="shared" si="10"/>
        <v>0</v>
      </c>
      <c r="K147" s="2">
        <f t="shared" si="11"/>
        <v>9.0000000000003411E-2</v>
      </c>
      <c r="L147" s="2">
        <f t="shared" si="8"/>
        <v>0.6149999999999991</v>
      </c>
    </row>
    <row r="148" spans="1:12" x14ac:dyDescent="0.25">
      <c r="A148" s="1">
        <v>45875</v>
      </c>
      <c r="B148">
        <v>93.9</v>
      </c>
      <c r="C148">
        <v>93.82</v>
      </c>
      <c r="D148">
        <v>93.9</v>
      </c>
      <c r="E148">
        <v>93.82</v>
      </c>
      <c r="F148" t="s">
        <v>13</v>
      </c>
      <c r="G148" s="7">
        <v>0</v>
      </c>
      <c r="H148" s="2">
        <f t="shared" si="7"/>
        <v>94.141500000000008</v>
      </c>
      <c r="I148" s="2">
        <f t="shared" si="9"/>
        <v>93.919599999999988</v>
      </c>
      <c r="J148" s="3">
        <f t="shared" si="10"/>
        <v>0</v>
      </c>
      <c r="K148" s="2">
        <f t="shared" si="11"/>
        <v>8.0000000000012506E-2</v>
      </c>
      <c r="L148" s="2">
        <f t="shared" si="8"/>
        <v>0.59899999999999953</v>
      </c>
    </row>
    <row r="149" spans="1:12" x14ac:dyDescent="0.25">
      <c r="A149" s="1">
        <v>45876</v>
      </c>
      <c r="B149">
        <v>93.9</v>
      </c>
      <c r="C149">
        <v>93.9</v>
      </c>
      <c r="D149">
        <v>93.9</v>
      </c>
      <c r="E149">
        <v>93</v>
      </c>
      <c r="F149" t="s">
        <v>159</v>
      </c>
      <c r="G149" s="7">
        <v>0</v>
      </c>
      <c r="H149" s="2">
        <f t="shared" si="7"/>
        <v>94.136500000000012</v>
      </c>
      <c r="I149" s="2">
        <f t="shared" si="9"/>
        <v>93.857999999999976</v>
      </c>
      <c r="J149" s="3">
        <f t="shared" si="10"/>
        <v>0</v>
      </c>
      <c r="K149" s="2">
        <f t="shared" si="11"/>
        <v>0.90000000000000568</v>
      </c>
      <c r="L149" s="2">
        <f t="shared" si="8"/>
        <v>0.63399999999999967</v>
      </c>
    </row>
    <row r="150" spans="1:12" x14ac:dyDescent="0.25">
      <c r="A150" s="1">
        <v>45877</v>
      </c>
      <c r="B150">
        <v>93.9</v>
      </c>
      <c r="C150">
        <v>93.9</v>
      </c>
      <c r="D150">
        <v>93.9</v>
      </c>
      <c r="E150">
        <v>93.8</v>
      </c>
      <c r="F150" t="s">
        <v>160</v>
      </c>
      <c r="G150" s="7">
        <v>0</v>
      </c>
      <c r="H150" s="2">
        <f t="shared" ref="H150:H213" si="12">AVERAGE(B131:B150)</f>
        <v>94.136500000000012</v>
      </c>
      <c r="I150" s="2">
        <f t="shared" si="9"/>
        <v>93.805999999999969</v>
      </c>
      <c r="J150" s="3">
        <f t="shared" si="10"/>
        <v>0</v>
      </c>
      <c r="K150" s="2">
        <f t="shared" si="11"/>
        <v>0.10000000000000853</v>
      </c>
      <c r="L150" s="2">
        <f t="shared" ref="L150:L213" si="13">AVERAGE(K131:K150)</f>
        <v>0.5840000000000003</v>
      </c>
    </row>
    <row r="151" spans="1:12" x14ac:dyDescent="0.25">
      <c r="A151" s="1">
        <v>45880</v>
      </c>
      <c r="B151">
        <v>93.85</v>
      </c>
      <c r="C151">
        <v>93.9</v>
      </c>
      <c r="D151">
        <v>93.9</v>
      </c>
      <c r="E151">
        <v>93.31</v>
      </c>
      <c r="F151" t="s">
        <v>43</v>
      </c>
      <c r="G151" s="7">
        <v>-5.0000000000000001E-4</v>
      </c>
      <c r="H151" s="2">
        <f t="shared" si="12"/>
        <v>94.129000000000019</v>
      </c>
      <c r="I151" s="2">
        <f t="shared" si="9"/>
        <v>93.754999999999981</v>
      </c>
      <c r="J151" s="3">
        <f t="shared" si="10"/>
        <v>-5.3248136315242611E-4</v>
      </c>
      <c r="K151" s="2">
        <f t="shared" si="11"/>
        <v>0.59000000000000341</v>
      </c>
      <c r="L151" s="2">
        <f t="shared" si="13"/>
        <v>0.60850000000000082</v>
      </c>
    </row>
    <row r="152" spans="1:12" x14ac:dyDescent="0.25">
      <c r="A152" s="1">
        <v>45881</v>
      </c>
      <c r="B152">
        <v>93.7</v>
      </c>
      <c r="C152">
        <v>93.35</v>
      </c>
      <c r="D152">
        <v>93.8</v>
      </c>
      <c r="E152">
        <v>93.35</v>
      </c>
      <c r="F152" t="s">
        <v>32</v>
      </c>
      <c r="G152" s="7">
        <v>-1.6000000000000001E-3</v>
      </c>
      <c r="H152" s="2">
        <f t="shared" si="12"/>
        <v>94.114000000000004</v>
      </c>
      <c r="I152" s="2">
        <f t="shared" si="9"/>
        <v>93.712999999999994</v>
      </c>
      <c r="J152" s="3">
        <f t="shared" si="10"/>
        <v>-2.1299254526091493E-3</v>
      </c>
      <c r="K152" s="2">
        <f t="shared" si="11"/>
        <v>0.45000000000000284</v>
      </c>
      <c r="L152" s="2">
        <f t="shared" si="13"/>
        <v>0.54700000000000126</v>
      </c>
    </row>
    <row r="153" spans="1:12" x14ac:dyDescent="0.25">
      <c r="A153" s="1">
        <v>45883</v>
      </c>
      <c r="B153">
        <v>93.7</v>
      </c>
      <c r="C153">
        <v>93.69</v>
      </c>
      <c r="D153">
        <v>93.7</v>
      </c>
      <c r="E153">
        <v>93</v>
      </c>
      <c r="F153" t="s">
        <v>33</v>
      </c>
      <c r="G153" s="7">
        <v>0</v>
      </c>
      <c r="H153" s="2">
        <f t="shared" si="12"/>
        <v>94.050000000000026</v>
      </c>
      <c r="I153" s="2">
        <f t="shared" si="9"/>
        <v>93.696999999999989</v>
      </c>
      <c r="J153" s="3">
        <f t="shared" si="10"/>
        <v>-2.1299254526091493E-3</v>
      </c>
      <c r="K153" s="2">
        <f t="shared" si="11"/>
        <v>0.70000000000000284</v>
      </c>
      <c r="L153" s="2">
        <f t="shared" si="13"/>
        <v>0.53200000000000147</v>
      </c>
    </row>
    <row r="154" spans="1:12" x14ac:dyDescent="0.25">
      <c r="A154" s="1">
        <v>45884</v>
      </c>
      <c r="B154">
        <v>93.68</v>
      </c>
      <c r="C154">
        <v>93.3</v>
      </c>
      <c r="D154">
        <v>93.68</v>
      </c>
      <c r="E154">
        <v>93.3</v>
      </c>
      <c r="F154" t="s">
        <v>51</v>
      </c>
      <c r="G154" s="7">
        <v>-2.0000000000000001E-4</v>
      </c>
      <c r="H154" s="2">
        <f t="shared" si="12"/>
        <v>94.009000000000029</v>
      </c>
      <c r="I154" s="2">
        <f t="shared" si="9"/>
        <v>93.680599999999998</v>
      </c>
      <c r="J154" s="3">
        <f t="shared" si="10"/>
        <v>-2.3429179978700088E-3</v>
      </c>
      <c r="K154" s="2">
        <f t="shared" si="11"/>
        <v>0.38000000000000966</v>
      </c>
      <c r="L154" s="2">
        <f t="shared" si="13"/>
        <v>0.50250000000000195</v>
      </c>
    </row>
    <row r="155" spans="1:12" x14ac:dyDescent="0.25">
      <c r="A155" s="1">
        <v>45887</v>
      </c>
      <c r="B155">
        <v>93.7</v>
      </c>
      <c r="C155">
        <v>93.5</v>
      </c>
      <c r="D155">
        <v>93.7</v>
      </c>
      <c r="E155">
        <v>93.5</v>
      </c>
      <c r="F155" t="s">
        <v>137</v>
      </c>
      <c r="G155" s="7">
        <v>2.0000000000000001E-4</v>
      </c>
      <c r="H155" s="2">
        <f t="shared" si="12"/>
        <v>93.974000000000018</v>
      </c>
      <c r="I155" s="2">
        <f t="shared" si="9"/>
        <v>93.674600000000012</v>
      </c>
      <c r="J155" s="3">
        <f t="shared" si="10"/>
        <v>-2.1299254526091493E-3</v>
      </c>
      <c r="K155" s="2">
        <f t="shared" si="11"/>
        <v>0.20000000000000284</v>
      </c>
      <c r="L155" s="2">
        <f t="shared" si="13"/>
        <v>0.48100000000000165</v>
      </c>
    </row>
    <row r="156" spans="1:12" x14ac:dyDescent="0.25">
      <c r="A156" s="1">
        <v>45888</v>
      </c>
      <c r="B156">
        <v>93.79</v>
      </c>
      <c r="C156">
        <v>93.7</v>
      </c>
      <c r="D156">
        <v>93.8</v>
      </c>
      <c r="E156">
        <v>93.7</v>
      </c>
      <c r="F156" t="s">
        <v>21</v>
      </c>
      <c r="G156" s="7">
        <v>1E-3</v>
      </c>
      <c r="H156" s="2">
        <f t="shared" si="12"/>
        <v>93.943500000000014</v>
      </c>
      <c r="I156" s="2">
        <f t="shared" si="9"/>
        <v>93.66640000000001</v>
      </c>
      <c r="J156" s="3">
        <f t="shared" si="10"/>
        <v>-1.1714589989350044E-3</v>
      </c>
      <c r="K156" s="2">
        <f t="shared" si="11"/>
        <v>9.9999999999994316E-2</v>
      </c>
      <c r="L156" s="2">
        <f t="shared" si="13"/>
        <v>0.46100000000000135</v>
      </c>
    </row>
    <row r="157" spans="1:12" x14ac:dyDescent="0.25">
      <c r="A157" s="1">
        <v>45889</v>
      </c>
      <c r="B157">
        <v>93.9</v>
      </c>
      <c r="C157">
        <v>93.79</v>
      </c>
      <c r="D157">
        <v>93.9</v>
      </c>
      <c r="E157">
        <v>93.79</v>
      </c>
      <c r="F157" t="s">
        <v>97</v>
      </c>
      <c r="G157" s="7">
        <v>1.1999999999999999E-3</v>
      </c>
      <c r="H157" s="2">
        <f t="shared" si="12"/>
        <v>93.908500000000018</v>
      </c>
      <c r="I157" s="2">
        <f t="shared" si="9"/>
        <v>93.662399999999991</v>
      </c>
      <c r="J157" s="3">
        <f t="shared" si="10"/>
        <v>0</v>
      </c>
      <c r="K157" s="2">
        <f t="shared" si="11"/>
        <v>0.10999999999999943</v>
      </c>
      <c r="L157" s="2">
        <f t="shared" si="13"/>
        <v>0.46150000000000163</v>
      </c>
    </row>
    <row r="158" spans="1:12" x14ac:dyDescent="0.25">
      <c r="A158" s="1">
        <v>45890</v>
      </c>
      <c r="B158">
        <v>93.9</v>
      </c>
      <c r="C158">
        <v>93.73</v>
      </c>
      <c r="D158">
        <v>93.9</v>
      </c>
      <c r="E158">
        <v>93.73</v>
      </c>
      <c r="F158" t="s">
        <v>22</v>
      </c>
      <c r="G158" s="7">
        <v>0</v>
      </c>
      <c r="H158" s="2">
        <f t="shared" si="12"/>
        <v>93.913500000000028</v>
      </c>
      <c r="I158" s="2">
        <f t="shared" si="9"/>
        <v>93.660399999999996</v>
      </c>
      <c r="J158" s="3">
        <f t="shared" si="10"/>
        <v>0</v>
      </c>
      <c r="K158" s="2">
        <f t="shared" si="11"/>
        <v>0.17000000000000171</v>
      </c>
      <c r="L158" s="2">
        <f t="shared" si="13"/>
        <v>0.43500000000000155</v>
      </c>
    </row>
    <row r="159" spans="1:12" x14ac:dyDescent="0.25">
      <c r="A159" s="1">
        <v>45891</v>
      </c>
      <c r="B159">
        <v>94</v>
      </c>
      <c r="C159">
        <v>93.9</v>
      </c>
      <c r="D159">
        <v>94</v>
      </c>
      <c r="E159">
        <v>93.9</v>
      </c>
      <c r="F159" t="s">
        <v>38</v>
      </c>
      <c r="G159" s="7">
        <v>1.1000000000000001E-3</v>
      </c>
      <c r="H159" s="2">
        <f t="shared" si="12"/>
        <v>93.898500000000013</v>
      </c>
      <c r="I159" s="2">
        <f t="shared" si="9"/>
        <v>93.658799999999985</v>
      </c>
      <c r="J159" s="3">
        <f t="shared" si="10"/>
        <v>1.0649627263044081E-3</v>
      </c>
      <c r="K159" s="2">
        <f t="shared" si="11"/>
        <v>9.9999999999994316E-2</v>
      </c>
      <c r="L159" s="2">
        <f t="shared" si="13"/>
        <v>0.39050000000000151</v>
      </c>
    </row>
    <row r="160" spans="1:12" x14ac:dyDescent="0.25">
      <c r="A160" s="1">
        <v>45894</v>
      </c>
      <c r="B160">
        <v>93.92</v>
      </c>
      <c r="C160">
        <v>94</v>
      </c>
      <c r="D160">
        <v>94.3</v>
      </c>
      <c r="E160">
        <v>93.92</v>
      </c>
      <c r="F160" t="s">
        <v>97</v>
      </c>
      <c r="G160" s="7">
        <v>-8.9999999999999998E-4</v>
      </c>
      <c r="H160" s="2">
        <f t="shared" si="12"/>
        <v>93.884500000000017</v>
      </c>
      <c r="I160" s="2">
        <f t="shared" si="9"/>
        <v>93.667399999999986</v>
      </c>
      <c r="J160" s="3">
        <f t="shared" si="10"/>
        <v>2.1299254526097045E-4</v>
      </c>
      <c r="K160" s="2">
        <f t="shared" si="11"/>
        <v>0.37999999999999545</v>
      </c>
      <c r="L160" s="2">
        <f t="shared" si="13"/>
        <v>0.39450000000000146</v>
      </c>
    </row>
    <row r="161" spans="1:12" x14ac:dyDescent="0.25">
      <c r="A161" s="1">
        <v>45895</v>
      </c>
      <c r="B161">
        <v>93.71</v>
      </c>
      <c r="C161">
        <v>93.9</v>
      </c>
      <c r="D161">
        <v>93.9</v>
      </c>
      <c r="E161">
        <v>93.71</v>
      </c>
      <c r="F161" t="s">
        <v>123</v>
      </c>
      <c r="G161" s="7">
        <v>-2.2000000000000001E-3</v>
      </c>
      <c r="H161" s="2">
        <f t="shared" si="12"/>
        <v>93.860000000000014</v>
      </c>
      <c r="I161" s="2">
        <f t="shared" si="9"/>
        <v>93.675599999999974</v>
      </c>
      <c r="J161" s="3">
        <f t="shared" si="10"/>
        <v>-2.0234291799787751E-3</v>
      </c>
      <c r="K161" s="2">
        <f t="shared" si="11"/>
        <v>0.19000000000001194</v>
      </c>
      <c r="L161" s="2">
        <f t="shared" si="13"/>
        <v>0.38900000000000218</v>
      </c>
    </row>
    <row r="162" spans="1:12" x14ac:dyDescent="0.25">
      <c r="A162" s="1">
        <v>45896</v>
      </c>
      <c r="B162">
        <v>94</v>
      </c>
      <c r="C162">
        <v>93.71</v>
      </c>
      <c r="D162">
        <v>94</v>
      </c>
      <c r="E162">
        <v>93.71</v>
      </c>
      <c r="F162" t="s">
        <v>48</v>
      </c>
      <c r="G162" s="7">
        <v>3.0999999999999999E-3</v>
      </c>
      <c r="H162" s="2">
        <f t="shared" si="12"/>
        <v>93.870000000000019</v>
      </c>
      <c r="I162" s="2">
        <f t="shared" si="9"/>
        <v>93.715599999999995</v>
      </c>
      <c r="J162" s="3">
        <f t="shared" si="10"/>
        <v>1.0649627263044081E-3</v>
      </c>
      <c r="K162" s="2">
        <f t="shared" si="11"/>
        <v>0.29000000000000625</v>
      </c>
      <c r="L162" s="2">
        <f t="shared" si="13"/>
        <v>0.35350000000000248</v>
      </c>
    </row>
    <row r="163" spans="1:12" x14ac:dyDescent="0.25">
      <c r="A163" s="1">
        <v>45897</v>
      </c>
      <c r="B163">
        <v>94</v>
      </c>
      <c r="C163">
        <v>93.81</v>
      </c>
      <c r="D163">
        <v>94</v>
      </c>
      <c r="E163">
        <v>93.71</v>
      </c>
      <c r="F163" t="s">
        <v>54</v>
      </c>
      <c r="G163" s="7">
        <v>0</v>
      </c>
      <c r="H163" s="2">
        <f t="shared" si="12"/>
        <v>93.870000000000019</v>
      </c>
      <c r="I163" s="2">
        <f t="shared" si="9"/>
        <v>93.782599999999988</v>
      </c>
      <c r="J163" s="3">
        <f t="shared" si="10"/>
        <v>1.0649627263044081E-3</v>
      </c>
      <c r="K163" s="2">
        <f t="shared" si="11"/>
        <v>0.29000000000000625</v>
      </c>
      <c r="L163" s="2">
        <f t="shared" si="13"/>
        <v>0.32800000000000296</v>
      </c>
    </row>
    <row r="164" spans="1:12" x14ac:dyDescent="0.25">
      <c r="A164" s="1">
        <v>45898</v>
      </c>
      <c r="B164">
        <v>94</v>
      </c>
      <c r="C164">
        <v>94</v>
      </c>
      <c r="D164">
        <v>94</v>
      </c>
      <c r="E164">
        <v>93.71</v>
      </c>
      <c r="F164" t="s">
        <v>60</v>
      </c>
      <c r="G164" s="7">
        <v>0</v>
      </c>
      <c r="H164" s="2">
        <f t="shared" si="12"/>
        <v>93.870000000000019</v>
      </c>
      <c r="I164" s="2">
        <f t="shared" si="9"/>
        <v>93.852599999999995</v>
      </c>
      <c r="J164" s="3">
        <f t="shared" si="10"/>
        <v>1.0649627263044081E-3</v>
      </c>
      <c r="K164" s="2">
        <f t="shared" si="11"/>
        <v>0.29000000000000625</v>
      </c>
      <c r="L164" s="2">
        <f t="shared" si="13"/>
        <v>0.32050000000000339</v>
      </c>
    </row>
    <row r="165" spans="1:12" x14ac:dyDescent="0.25">
      <c r="A165" s="1">
        <v>45901</v>
      </c>
      <c r="B165">
        <v>94</v>
      </c>
      <c r="C165">
        <v>93.99</v>
      </c>
      <c r="D165">
        <v>94</v>
      </c>
      <c r="E165">
        <v>93.9</v>
      </c>
      <c r="F165" t="s">
        <v>161</v>
      </c>
      <c r="G165" s="7">
        <v>0</v>
      </c>
      <c r="H165" s="2">
        <f t="shared" si="12"/>
        <v>93.870000000000019</v>
      </c>
      <c r="I165" s="2">
        <f t="shared" si="9"/>
        <v>93.928600000000003</v>
      </c>
      <c r="J165" s="3">
        <f t="shared" si="10"/>
        <v>1.0649627263044081E-3</v>
      </c>
      <c r="K165" s="2">
        <f t="shared" si="11"/>
        <v>9.9999999999994316E-2</v>
      </c>
      <c r="L165" s="2">
        <f t="shared" si="13"/>
        <v>0.3005000000000031</v>
      </c>
    </row>
    <row r="166" spans="1:12" x14ac:dyDescent="0.25">
      <c r="A166" s="1">
        <v>45902</v>
      </c>
      <c r="B166">
        <v>93.75</v>
      </c>
      <c r="C166">
        <v>93.99</v>
      </c>
      <c r="D166">
        <v>93.99</v>
      </c>
      <c r="E166">
        <v>93</v>
      </c>
      <c r="F166" t="s">
        <v>25</v>
      </c>
      <c r="G166" s="7">
        <v>-2.7000000000000001E-3</v>
      </c>
      <c r="H166" s="2">
        <f t="shared" si="12"/>
        <v>93.860000000000028</v>
      </c>
      <c r="I166" s="2">
        <f t="shared" si="9"/>
        <v>93.943799999999996</v>
      </c>
      <c r="J166" s="3">
        <f t="shared" si="10"/>
        <v>-1.5974440894569453E-3</v>
      </c>
      <c r="K166" s="2">
        <f t="shared" si="11"/>
        <v>0.98999999999999488</v>
      </c>
      <c r="L166" s="2">
        <f t="shared" si="13"/>
        <v>0.32500000000000284</v>
      </c>
    </row>
    <row r="167" spans="1:12" x14ac:dyDescent="0.25">
      <c r="A167" s="1">
        <v>45903</v>
      </c>
      <c r="B167">
        <v>95.5</v>
      </c>
      <c r="C167">
        <v>94</v>
      </c>
      <c r="D167">
        <v>96.65</v>
      </c>
      <c r="E167">
        <v>93.98</v>
      </c>
      <c r="F167" t="s">
        <v>162</v>
      </c>
      <c r="G167" s="7">
        <v>1.8700000000000001E-2</v>
      </c>
      <c r="H167" s="2">
        <f t="shared" si="12"/>
        <v>93.940000000000012</v>
      </c>
      <c r="I167" s="2">
        <f t="shared" si="9"/>
        <v>93.99799999999999</v>
      </c>
      <c r="J167" s="3">
        <f t="shared" si="10"/>
        <v>1.7039403620873195E-2</v>
      </c>
      <c r="K167" s="2">
        <f t="shared" si="11"/>
        <v>2.6700000000000017</v>
      </c>
      <c r="L167" s="2">
        <f t="shared" si="13"/>
        <v>0.45400000000000273</v>
      </c>
    </row>
    <row r="168" spans="1:12" x14ac:dyDescent="0.25">
      <c r="A168" s="1">
        <v>45905</v>
      </c>
      <c r="B168">
        <v>95.39</v>
      </c>
      <c r="C168">
        <v>95.5</v>
      </c>
      <c r="D168">
        <v>95.5</v>
      </c>
      <c r="E168">
        <v>95</v>
      </c>
      <c r="F168" t="s">
        <v>116</v>
      </c>
      <c r="G168" s="7">
        <v>-1.1999999999999999E-3</v>
      </c>
      <c r="H168" s="2">
        <f t="shared" si="12"/>
        <v>94.014500000000012</v>
      </c>
      <c r="I168" s="2">
        <f t="shared" si="9"/>
        <v>94.065399999999997</v>
      </c>
      <c r="J168" s="3">
        <f t="shared" si="10"/>
        <v>1.5867944621938079E-2</v>
      </c>
      <c r="K168" s="2">
        <f t="shared" si="11"/>
        <v>0.5</v>
      </c>
      <c r="L168" s="2">
        <f t="shared" si="13"/>
        <v>0.47500000000000214</v>
      </c>
    </row>
    <row r="169" spans="1:12" x14ac:dyDescent="0.25">
      <c r="A169" s="1">
        <v>45908</v>
      </c>
      <c r="B169">
        <v>94.7</v>
      </c>
      <c r="C169">
        <v>95.49</v>
      </c>
      <c r="D169">
        <v>95.5</v>
      </c>
      <c r="E169">
        <v>94.7</v>
      </c>
      <c r="F169" t="s">
        <v>163</v>
      </c>
      <c r="G169" s="7">
        <v>-7.1999999999999998E-3</v>
      </c>
      <c r="H169" s="2">
        <f t="shared" si="12"/>
        <v>94.054500000000004</v>
      </c>
      <c r="I169" s="2">
        <f t="shared" si="9"/>
        <v>94.079399999999993</v>
      </c>
      <c r="J169" s="3">
        <f t="shared" si="10"/>
        <v>8.5197018104365974E-3</v>
      </c>
      <c r="K169" s="2">
        <f t="shared" si="11"/>
        <v>0.79999999999999716</v>
      </c>
      <c r="L169" s="2">
        <f t="shared" si="13"/>
        <v>0.47000000000000169</v>
      </c>
    </row>
    <row r="170" spans="1:12" x14ac:dyDescent="0.25">
      <c r="A170" s="1">
        <v>45909</v>
      </c>
      <c r="B170">
        <v>96</v>
      </c>
      <c r="C170">
        <v>95</v>
      </c>
      <c r="D170">
        <v>96.5</v>
      </c>
      <c r="E170">
        <v>95</v>
      </c>
      <c r="F170" t="s">
        <v>164</v>
      </c>
      <c r="G170" s="7">
        <v>1.37E-2</v>
      </c>
      <c r="H170" s="2">
        <f t="shared" si="12"/>
        <v>94.159500000000008</v>
      </c>
      <c r="I170" s="2">
        <f t="shared" si="9"/>
        <v>94.119399999999985</v>
      </c>
      <c r="J170" s="3">
        <f t="shared" si="10"/>
        <v>2.2364217252396124E-2</v>
      </c>
      <c r="K170" s="2">
        <f t="shared" si="11"/>
        <v>1.5</v>
      </c>
      <c r="L170" s="2">
        <f t="shared" si="13"/>
        <v>0.54000000000000126</v>
      </c>
    </row>
    <row r="171" spans="1:12" x14ac:dyDescent="0.25">
      <c r="A171" s="1">
        <v>45910</v>
      </c>
      <c r="B171">
        <v>95.79</v>
      </c>
      <c r="C171">
        <v>96</v>
      </c>
      <c r="D171">
        <v>96</v>
      </c>
      <c r="E171">
        <v>95.55</v>
      </c>
      <c r="F171" t="s">
        <v>36</v>
      </c>
      <c r="G171" s="7">
        <v>-2.2000000000000001E-3</v>
      </c>
      <c r="H171" s="2">
        <f t="shared" si="12"/>
        <v>94.256500000000003</v>
      </c>
      <c r="I171" s="2">
        <f t="shared" si="9"/>
        <v>94.152199999999993</v>
      </c>
      <c r="J171" s="3">
        <f t="shared" si="10"/>
        <v>2.01277955271566E-2</v>
      </c>
      <c r="K171" s="2">
        <f t="shared" si="11"/>
        <v>0.45000000000000284</v>
      </c>
      <c r="L171" s="2">
        <f t="shared" si="13"/>
        <v>0.53300000000000125</v>
      </c>
    </row>
    <row r="172" spans="1:12" x14ac:dyDescent="0.25">
      <c r="A172" s="1">
        <v>45911</v>
      </c>
      <c r="B172">
        <v>97.9</v>
      </c>
      <c r="C172">
        <v>95.5</v>
      </c>
      <c r="D172">
        <v>97.9</v>
      </c>
      <c r="E172">
        <v>95.5</v>
      </c>
      <c r="F172" t="s">
        <v>165</v>
      </c>
      <c r="G172" s="7">
        <v>2.1999999999999999E-2</v>
      </c>
      <c r="H172" s="2">
        <f t="shared" si="12"/>
        <v>94.466500000000011</v>
      </c>
      <c r="I172" s="2">
        <f t="shared" si="9"/>
        <v>94.230199999999982</v>
      </c>
      <c r="J172" s="3">
        <f t="shared" si="10"/>
        <v>4.2598509052183209E-2</v>
      </c>
      <c r="K172" s="2">
        <f t="shared" si="11"/>
        <v>2.4000000000000057</v>
      </c>
      <c r="L172" s="2">
        <f t="shared" si="13"/>
        <v>0.63050000000000139</v>
      </c>
    </row>
    <row r="173" spans="1:12" x14ac:dyDescent="0.25">
      <c r="A173" s="1">
        <v>45912</v>
      </c>
      <c r="B173">
        <v>97.69</v>
      </c>
      <c r="C173">
        <v>96.01</v>
      </c>
      <c r="D173">
        <v>97.8</v>
      </c>
      <c r="E173">
        <v>96</v>
      </c>
      <c r="F173" t="s">
        <v>46</v>
      </c>
      <c r="G173" s="7">
        <v>-2.0999999999999999E-3</v>
      </c>
      <c r="H173" s="2">
        <f t="shared" si="12"/>
        <v>94.666000000000011</v>
      </c>
      <c r="I173" s="2">
        <f t="shared" si="9"/>
        <v>94.303999999999974</v>
      </c>
      <c r="J173" s="3">
        <f t="shared" si="10"/>
        <v>4.0362087326943463E-2</v>
      </c>
      <c r="K173" s="2">
        <f t="shared" si="11"/>
        <v>1.7999999999999972</v>
      </c>
      <c r="L173" s="2">
        <f t="shared" si="13"/>
        <v>0.68550000000000111</v>
      </c>
    </row>
    <row r="174" spans="1:12" x14ac:dyDescent="0.25">
      <c r="A174" s="1">
        <v>45915</v>
      </c>
      <c r="B174">
        <v>97.68</v>
      </c>
      <c r="C174">
        <v>97.2</v>
      </c>
      <c r="D174">
        <v>97.75</v>
      </c>
      <c r="E174">
        <v>97</v>
      </c>
      <c r="F174" t="s">
        <v>25</v>
      </c>
      <c r="G174" s="7">
        <v>-1E-4</v>
      </c>
      <c r="H174" s="2">
        <f t="shared" si="12"/>
        <v>94.866000000000014</v>
      </c>
      <c r="I174" s="2">
        <f t="shared" si="9"/>
        <v>94.377599999999987</v>
      </c>
      <c r="J174" s="3">
        <f t="shared" si="10"/>
        <v>4.02555910543132E-2</v>
      </c>
      <c r="K174" s="2">
        <f t="shared" si="11"/>
        <v>0.75</v>
      </c>
      <c r="L174" s="2">
        <f t="shared" si="13"/>
        <v>0.70400000000000063</v>
      </c>
    </row>
    <row r="175" spans="1:12" x14ac:dyDescent="0.25">
      <c r="A175" s="1">
        <v>45916</v>
      </c>
      <c r="B175">
        <v>98.89</v>
      </c>
      <c r="C175">
        <v>97.75</v>
      </c>
      <c r="D175">
        <v>98.89</v>
      </c>
      <c r="E175">
        <v>97.68</v>
      </c>
      <c r="F175" t="s">
        <v>64</v>
      </c>
      <c r="G175" s="7">
        <v>1.24E-2</v>
      </c>
      <c r="H175" s="2">
        <f t="shared" si="12"/>
        <v>95.125500000000017</v>
      </c>
      <c r="I175" s="2">
        <f t="shared" si="9"/>
        <v>94.475399999999993</v>
      </c>
      <c r="J175" s="3">
        <f t="shared" si="10"/>
        <v>5.3141640042598359E-2</v>
      </c>
      <c r="K175" s="2">
        <f t="shared" si="11"/>
        <v>1.2099999999999937</v>
      </c>
      <c r="L175" s="2">
        <f t="shared" si="13"/>
        <v>0.75450000000000017</v>
      </c>
    </row>
    <row r="176" spans="1:12" x14ac:dyDescent="0.25">
      <c r="A176" s="1">
        <v>45917</v>
      </c>
      <c r="B176">
        <v>101</v>
      </c>
      <c r="C176">
        <v>98.89</v>
      </c>
      <c r="D176">
        <v>101.9</v>
      </c>
      <c r="E176">
        <v>98.89</v>
      </c>
      <c r="F176" t="s">
        <v>166</v>
      </c>
      <c r="G176" s="7">
        <v>2.1299999999999999E-2</v>
      </c>
      <c r="H176" s="2">
        <f t="shared" si="12"/>
        <v>95.486000000000018</v>
      </c>
      <c r="I176" s="2">
        <f t="shared" si="9"/>
        <v>94.615399999999994</v>
      </c>
      <c r="J176" s="3">
        <f t="shared" si="10"/>
        <v>7.5612353567624968E-2</v>
      </c>
      <c r="K176" s="2">
        <f t="shared" si="11"/>
        <v>3.0100000000000051</v>
      </c>
      <c r="L176" s="2">
        <f t="shared" si="13"/>
        <v>0.90000000000000069</v>
      </c>
    </row>
    <row r="177" spans="1:12" x14ac:dyDescent="0.25">
      <c r="A177" s="1">
        <v>45918</v>
      </c>
      <c r="B177">
        <v>101</v>
      </c>
      <c r="C177">
        <v>101</v>
      </c>
      <c r="D177">
        <v>101.49</v>
      </c>
      <c r="E177">
        <v>100.2</v>
      </c>
      <c r="F177" t="s">
        <v>167</v>
      </c>
      <c r="G177" s="7">
        <v>0</v>
      </c>
      <c r="H177" s="2">
        <f t="shared" si="12"/>
        <v>95.841000000000022</v>
      </c>
      <c r="I177" s="2">
        <f t="shared" si="9"/>
        <v>94.755399999999995</v>
      </c>
      <c r="J177" s="3">
        <f t="shared" si="10"/>
        <v>7.5612353567624968E-2</v>
      </c>
      <c r="K177" s="2">
        <f t="shared" si="11"/>
        <v>1.289999999999992</v>
      </c>
      <c r="L177" s="2">
        <f t="shared" si="13"/>
        <v>0.9590000000000003</v>
      </c>
    </row>
    <row r="178" spans="1:12" x14ac:dyDescent="0.25">
      <c r="A178" s="1">
        <v>45919</v>
      </c>
      <c r="B178">
        <v>101</v>
      </c>
      <c r="C178">
        <v>100.5</v>
      </c>
      <c r="D178">
        <v>101.5</v>
      </c>
      <c r="E178">
        <v>100.5</v>
      </c>
      <c r="F178" t="s">
        <v>168</v>
      </c>
      <c r="G178" s="7">
        <v>0</v>
      </c>
      <c r="H178" s="2">
        <f t="shared" si="12"/>
        <v>96.196000000000012</v>
      </c>
      <c r="I178" s="2">
        <f t="shared" si="9"/>
        <v>94.895399999999995</v>
      </c>
      <c r="J178" s="3">
        <f t="shared" si="10"/>
        <v>7.5612353567624968E-2</v>
      </c>
      <c r="K178" s="2">
        <f t="shared" si="11"/>
        <v>1</v>
      </c>
      <c r="L178" s="2">
        <f t="shared" si="13"/>
        <v>1.0005000000000002</v>
      </c>
    </row>
    <row r="179" spans="1:12" x14ac:dyDescent="0.25">
      <c r="A179" s="1">
        <v>45922</v>
      </c>
      <c r="B179">
        <v>101</v>
      </c>
      <c r="C179">
        <v>101</v>
      </c>
      <c r="D179">
        <v>101.5</v>
      </c>
      <c r="E179">
        <v>100.9</v>
      </c>
      <c r="F179" t="s">
        <v>169</v>
      </c>
      <c r="G179" s="7">
        <v>0</v>
      </c>
      <c r="H179" s="2">
        <f t="shared" si="12"/>
        <v>96.546000000000021</v>
      </c>
      <c r="I179" s="2">
        <f t="shared" si="9"/>
        <v>95.03540000000001</v>
      </c>
      <c r="J179" s="3">
        <f t="shared" si="10"/>
        <v>7.5612353567624968E-2</v>
      </c>
      <c r="K179" s="2">
        <f t="shared" si="11"/>
        <v>0.59999999999999432</v>
      </c>
      <c r="L179" s="2">
        <f t="shared" si="13"/>
        <v>1.0255000000000003</v>
      </c>
    </row>
    <row r="180" spans="1:12" x14ac:dyDescent="0.25">
      <c r="A180" s="1">
        <v>45923</v>
      </c>
      <c r="B180">
        <v>100.84</v>
      </c>
      <c r="C180">
        <v>101</v>
      </c>
      <c r="D180">
        <v>101</v>
      </c>
      <c r="E180">
        <v>100.6</v>
      </c>
      <c r="F180" t="s">
        <v>56</v>
      </c>
      <c r="G180" s="7">
        <v>-1.6000000000000001E-3</v>
      </c>
      <c r="H180" s="2">
        <f t="shared" si="12"/>
        <v>96.892000000000024</v>
      </c>
      <c r="I180" s="2">
        <f t="shared" ref="I180:I243" si="14">AVERAGE(B131:B180)</f>
        <v>95.174199999999999</v>
      </c>
      <c r="J180" s="3">
        <f t="shared" si="10"/>
        <v>7.3908413205537871E-2</v>
      </c>
      <c r="K180" s="2">
        <f t="shared" si="11"/>
        <v>0.40000000000000568</v>
      </c>
      <c r="L180" s="2">
        <f t="shared" si="13"/>
        <v>1.0265000000000009</v>
      </c>
    </row>
    <row r="181" spans="1:12" x14ac:dyDescent="0.25">
      <c r="A181" s="1">
        <v>45924</v>
      </c>
      <c r="B181">
        <v>101.24</v>
      </c>
      <c r="C181">
        <v>101</v>
      </c>
      <c r="D181">
        <v>101.3</v>
      </c>
      <c r="E181">
        <v>101</v>
      </c>
      <c r="F181" t="s">
        <v>125</v>
      </c>
      <c r="G181" s="7">
        <v>4.0000000000000001E-3</v>
      </c>
      <c r="H181" s="2">
        <f t="shared" si="12"/>
        <v>97.268500000000003</v>
      </c>
      <c r="I181" s="2">
        <f t="shared" si="14"/>
        <v>95.319000000000003</v>
      </c>
      <c r="J181" s="3">
        <f t="shared" si="10"/>
        <v>7.8168264110755947E-2</v>
      </c>
      <c r="K181" s="2">
        <f t="shared" si="11"/>
        <v>0.29999999999999716</v>
      </c>
      <c r="L181" s="2">
        <f t="shared" si="13"/>
        <v>1.032</v>
      </c>
    </row>
    <row r="182" spans="1:12" x14ac:dyDescent="0.25">
      <c r="A182" s="1">
        <v>45925</v>
      </c>
      <c r="B182">
        <v>101.9</v>
      </c>
      <c r="C182">
        <v>101.24</v>
      </c>
      <c r="D182">
        <v>101.9</v>
      </c>
      <c r="E182">
        <v>101</v>
      </c>
      <c r="F182" t="s">
        <v>68</v>
      </c>
      <c r="G182" s="7">
        <v>6.4999999999999997E-3</v>
      </c>
      <c r="H182" s="2">
        <f t="shared" si="12"/>
        <v>97.663500000000013</v>
      </c>
      <c r="I182" s="2">
        <f t="shared" si="14"/>
        <v>95.47699999999999</v>
      </c>
      <c r="J182" s="3">
        <f t="shared" si="10"/>
        <v>8.5197018104366418E-2</v>
      </c>
      <c r="K182" s="2">
        <f t="shared" si="11"/>
        <v>0.90000000000000568</v>
      </c>
      <c r="L182" s="2">
        <f t="shared" si="13"/>
        <v>1.0625</v>
      </c>
    </row>
    <row r="183" spans="1:12" x14ac:dyDescent="0.25">
      <c r="A183" s="1">
        <v>45926</v>
      </c>
      <c r="B183">
        <v>102.95</v>
      </c>
      <c r="C183">
        <v>101.9</v>
      </c>
      <c r="D183">
        <v>104</v>
      </c>
      <c r="E183">
        <v>101.9</v>
      </c>
      <c r="F183" t="s">
        <v>170</v>
      </c>
      <c r="G183" s="7">
        <v>1.03E-2</v>
      </c>
      <c r="H183" s="2">
        <f t="shared" si="12"/>
        <v>98.111000000000018</v>
      </c>
      <c r="I183" s="2">
        <f t="shared" si="14"/>
        <v>95.636399999999995</v>
      </c>
      <c r="J183" s="3">
        <f t="shared" si="10"/>
        <v>9.6379126730564479E-2</v>
      </c>
      <c r="K183" s="2">
        <f t="shared" si="11"/>
        <v>2.0999999999999943</v>
      </c>
      <c r="L183" s="2">
        <f t="shared" si="13"/>
        <v>1.1529999999999994</v>
      </c>
    </row>
    <row r="184" spans="1:12" x14ac:dyDescent="0.25">
      <c r="A184" s="1">
        <v>45929</v>
      </c>
      <c r="B184">
        <v>103.6</v>
      </c>
      <c r="C184">
        <v>102.95</v>
      </c>
      <c r="D184">
        <v>104</v>
      </c>
      <c r="E184">
        <v>102.95</v>
      </c>
      <c r="F184" t="s">
        <v>95</v>
      </c>
      <c r="G184" s="7">
        <v>6.3E-3</v>
      </c>
      <c r="H184" s="2">
        <f t="shared" si="12"/>
        <v>98.590999999999994</v>
      </c>
      <c r="I184" s="2">
        <f t="shared" si="14"/>
        <v>95.818399999999997</v>
      </c>
      <c r="J184" s="3">
        <f t="shared" si="10"/>
        <v>0.10330138445154402</v>
      </c>
      <c r="K184" s="2">
        <f t="shared" si="11"/>
        <v>1.0499999999999972</v>
      </c>
      <c r="L184" s="2">
        <f t="shared" si="13"/>
        <v>1.1909999999999989</v>
      </c>
    </row>
    <row r="185" spans="1:12" x14ac:dyDescent="0.25">
      <c r="A185" s="1">
        <v>45930</v>
      </c>
      <c r="B185">
        <v>103</v>
      </c>
      <c r="C185">
        <v>103.99</v>
      </c>
      <c r="D185">
        <v>103.99</v>
      </c>
      <c r="E185">
        <v>102.95</v>
      </c>
      <c r="F185" t="s">
        <v>19</v>
      </c>
      <c r="G185" s="7">
        <v>-5.7999999999999996E-3</v>
      </c>
      <c r="H185" s="2">
        <f t="shared" si="12"/>
        <v>99.040999999999997</v>
      </c>
      <c r="I185" s="2">
        <f t="shared" si="14"/>
        <v>95.990399999999994</v>
      </c>
      <c r="J185" s="3">
        <f t="shared" si="10"/>
        <v>9.6911608093716683E-2</v>
      </c>
      <c r="K185" s="2">
        <f t="shared" si="11"/>
        <v>1.039999999999992</v>
      </c>
      <c r="L185" s="2">
        <f t="shared" si="13"/>
        <v>1.2379999999999989</v>
      </c>
    </row>
    <row r="186" spans="1:12" x14ac:dyDescent="0.25">
      <c r="A186" s="1">
        <v>45931</v>
      </c>
      <c r="B186">
        <v>103</v>
      </c>
      <c r="C186">
        <v>103.6</v>
      </c>
      <c r="D186">
        <v>103.6</v>
      </c>
      <c r="E186">
        <v>102.95</v>
      </c>
      <c r="F186" t="s">
        <v>41</v>
      </c>
      <c r="G186" s="7">
        <v>0</v>
      </c>
      <c r="H186" s="2">
        <f t="shared" si="12"/>
        <v>99.503500000000003</v>
      </c>
      <c r="I186" s="2">
        <f t="shared" si="14"/>
        <v>96.162399999999991</v>
      </c>
      <c r="J186" s="3">
        <f t="shared" si="10"/>
        <v>9.6911608093716683E-2</v>
      </c>
      <c r="K186" s="2">
        <f t="shared" si="11"/>
        <v>0.64999999999999147</v>
      </c>
      <c r="L186" s="2">
        <f t="shared" si="13"/>
        <v>1.2209999999999988</v>
      </c>
    </row>
    <row r="187" spans="1:12" x14ac:dyDescent="0.25">
      <c r="A187" s="1">
        <v>45932</v>
      </c>
      <c r="B187">
        <v>102.94</v>
      </c>
      <c r="C187">
        <v>99</v>
      </c>
      <c r="D187">
        <v>102.99</v>
      </c>
      <c r="E187">
        <v>99</v>
      </c>
      <c r="F187" t="s">
        <v>43</v>
      </c>
      <c r="G187" s="7">
        <v>-5.9999999999999995E-4</v>
      </c>
      <c r="H187" s="2">
        <f t="shared" si="12"/>
        <v>99.875500000000002</v>
      </c>
      <c r="I187" s="2">
        <f t="shared" si="14"/>
        <v>96.329199999999986</v>
      </c>
      <c r="J187" s="3">
        <f t="shared" si="10"/>
        <v>9.6272630457933772E-2</v>
      </c>
      <c r="K187" s="2">
        <f t="shared" si="11"/>
        <v>3.9899999999999949</v>
      </c>
      <c r="L187" s="2">
        <f t="shared" si="13"/>
        <v>1.2869999999999984</v>
      </c>
    </row>
    <row r="188" spans="1:12" x14ac:dyDescent="0.25">
      <c r="A188" s="1">
        <v>45933</v>
      </c>
      <c r="B188">
        <v>102</v>
      </c>
      <c r="C188">
        <v>102</v>
      </c>
      <c r="D188">
        <v>102.6</v>
      </c>
      <c r="E188">
        <v>102</v>
      </c>
      <c r="F188" t="s">
        <v>69</v>
      </c>
      <c r="G188" s="7">
        <v>-9.1000000000000004E-3</v>
      </c>
      <c r="H188" s="2">
        <f t="shared" si="12"/>
        <v>100.206</v>
      </c>
      <c r="I188" s="2">
        <f t="shared" si="14"/>
        <v>96.493200000000002</v>
      </c>
      <c r="J188" s="3">
        <f t="shared" si="10"/>
        <v>8.6261980830670826E-2</v>
      </c>
      <c r="K188" s="2">
        <f t="shared" si="11"/>
        <v>0.59999999999999432</v>
      </c>
      <c r="L188" s="2">
        <f t="shared" si="13"/>
        <v>1.291999999999998</v>
      </c>
    </row>
    <row r="189" spans="1:12" x14ac:dyDescent="0.25">
      <c r="A189" s="1">
        <v>45936</v>
      </c>
      <c r="B189">
        <v>102.69</v>
      </c>
      <c r="C189">
        <v>101.9</v>
      </c>
      <c r="D189">
        <v>102.69</v>
      </c>
      <c r="E189">
        <v>101.9</v>
      </c>
      <c r="F189" t="s">
        <v>17</v>
      </c>
      <c r="G189" s="7">
        <v>6.7999999999999996E-3</v>
      </c>
      <c r="H189" s="2">
        <f t="shared" si="12"/>
        <v>100.60550000000001</v>
      </c>
      <c r="I189" s="2">
        <f t="shared" si="14"/>
        <v>96.660999999999987</v>
      </c>
      <c r="J189" s="3">
        <f t="shared" si="10"/>
        <v>9.361022364217253E-2</v>
      </c>
      <c r="K189" s="2">
        <f t="shared" si="11"/>
        <v>0.78999999999999204</v>
      </c>
      <c r="L189" s="2">
        <f t="shared" si="13"/>
        <v>1.2914999999999979</v>
      </c>
    </row>
    <row r="190" spans="1:12" x14ac:dyDescent="0.25">
      <c r="A190" s="1">
        <v>45937</v>
      </c>
      <c r="B190">
        <v>101.99</v>
      </c>
      <c r="C190">
        <v>102.7</v>
      </c>
      <c r="D190">
        <v>102.7</v>
      </c>
      <c r="E190">
        <v>100</v>
      </c>
      <c r="F190" t="s">
        <v>42</v>
      </c>
      <c r="G190" s="7">
        <v>-6.7999999999999996E-3</v>
      </c>
      <c r="H190" s="2">
        <f t="shared" si="12"/>
        <v>100.905</v>
      </c>
      <c r="I190" s="2">
        <f t="shared" si="14"/>
        <v>96.816799999999986</v>
      </c>
      <c r="J190" s="3">
        <f t="shared" si="10"/>
        <v>8.6155484558040341E-2</v>
      </c>
      <c r="K190" s="2">
        <f t="shared" si="11"/>
        <v>2.7000000000000028</v>
      </c>
      <c r="L190" s="2">
        <f t="shared" si="13"/>
        <v>1.3514999999999979</v>
      </c>
    </row>
    <row r="191" spans="1:12" x14ac:dyDescent="0.25">
      <c r="A191" s="1">
        <v>45938</v>
      </c>
      <c r="B191">
        <v>101</v>
      </c>
      <c r="C191">
        <v>101</v>
      </c>
      <c r="D191">
        <v>101.98</v>
      </c>
      <c r="E191">
        <v>101</v>
      </c>
      <c r="F191" t="s">
        <v>11</v>
      </c>
      <c r="G191" s="7">
        <v>-9.7000000000000003E-3</v>
      </c>
      <c r="H191" s="2">
        <f t="shared" si="12"/>
        <v>101.16550000000001</v>
      </c>
      <c r="I191" s="2">
        <f t="shared" si="14"/>
        <v>96.952799999999968</v>
      </c>
      <c r="J191" s="3">
        <f t="shared" si="10"/>
        <v>7.5612353567624968E-2</v>
      </c>
      <c r="K191" s="2">
        <f t="shared" si="11"/>
        <v>0.98000000000000398</v>
      </c>
      <c r="L191" s="2">
        <f t="shared" si="13"/>
        <v>1.3779999999999979</v>
      </c>
    </row>
    <row r="192" spans="1:12" x14ac:dyDescent="0.25">
      <c r="A192" s="1">
        <v>45939</v>
      </c>
      <c r="B192">
        <v>101.4</v>
      </c>
      <c r="C192">
        <v>101.98</v>
      </c>
      <c r="D192">
        <v>101.98</v>
      </c>
      <c r="E192">
        <v>101</v>
      </c>
      <c r="F192" t="s">
        <v>80</v>
      </c>
      <c r="G192" s="7">
        <v>4.0000000000000001E-3</v>
      </c>
      <c r="H192" s="2">
        <f t="shared" si="12"/>
        <v>101.34050000000001</v>
      </c>
      <c r="I192" s="2">
        <f t="shared" si="14"/>
        <v>97.104799999999955</v>
      </c>
      <c r="J192" s="3">
        <f t="shared" si="10"/>
        <v>7.9872204472843489E-2</v>
      </c>
      <c r="K192" s="2">
        <f t="shared" si="11"/>
        <v>0.98000000000000398</v>
      </c>
      <c r="L192" s="2">
        <f t="shared" si="13"/>
        <v>1.3069999999999979</v>
      </c>
    </row>
    <row r="193" spans="1:12" x14ac:dyDescent="0.25">
      <c r="A193" s="1">
        <v>45940</v>
      </c>
      <c r="B193">
        <v>101.4</v>
      </c>
      <c r="C193">
        <v>101.4</v>
      </c>
      <c r="D193">
        <v>101.98</v>
      </c>
      <c r="E193">
        <v>101</v>
      </c>
      <c r="F193" t="s">
        <v>23</v>
      </c>
      <c r="G193" s="7">
        <v>0</v>
      </c>
      <c r="H193" s="2">
        <f t="shared" si="12"/>
        <v>101.52600000000001</v>
      </c>
      <c r="I193" s="2">
        <f t="shared" si="14"/>
        <v>97.252799999999951</v>
      </c>
      <c r="J193" s="3">
        <f t="shared" si="10"/>
        <v>7.9872204472843489E-2</v>
      </c>
      <c r="K193" s="2">
        <f t="shared" si="11"/>
        <v>0.98000000000000398</v>
      </c>
      <c r="L193" s="2">
        <f t="shared" si="13"/>
        <v>1.2659999999999982</v>
      </c>
    </row>
    <row r="194" spans="1:12" x14ac:dyDescent="0.25">
      <c r="A194" s="1">
        <v>45943</v>
      </c>
      <c r="B194">
        <v>101.97</v>
      </c>
      <c r="C194">
        <v>101.98</v>
      </c>
      <c r="D194">
        <v>101.98</v>
      </c>
      <c r="E194">
        <v>101.95</v>
      </c>
      <c r="F194" t="s">
        <v>171</v>
      </c>
      <c r="G194" s="7">
        <v>5.5999999999999999E-3</v>
      </c>
      <c r="H194" s="2">
        <f t="shared" si="12"/>
        <v>101.74050000000003</v>
      </c>
      <c r="I194" s="2">
        <f t="shared" si="14"/>
        <v>97.41219999999997</v>
      </c>
      <c r="J194" s="3">
        <f t="shared" si="10"/>
        <v>8.594249201277937E-2</v>
      </c>
      <c r="K194" s="2">
        <f t="shared" si="11"/>
        <v>3.0000000000001137E-2</v>
      </c>
      <c r="L194" s="2">
        <f t="shared" si="13"/>
        <v>1.2299999999999982</v>
      </c>
    </row>
    <row r="195" spans="1:12" x14ac:dyDescent="0.25">
      <c r="A195" s="1">
        <v>45944</v>
      </c>
      <c r="B195">
        <v>101.94</v>
      </c>
      <c r="C195">
        <v>101.98</v>
      </c>
      <c r="D195">
        <v>101.98</v>
      </c>
      <c r="E195">
        <v>101.25</v>
      </c>
      <c r="F195" t="s">
        <v>155</v>
      </c>
      <c r="G195" s="7">
        <v>-2.9999999999999997E-4</v>
      </c>
      <c r="H195" s="2">
        <f t="shared" si="12"/>
        <v>101.89300000000003</v>
      </c>
      <c r="I195" s="2">
        <f t="shared" si="14"/>
        <v>97.57099999999997</v>
      </c>
      <c r="J195" s="3">
        <f t="shared" ref="J195:J258" si="15">(B195/$B$2)-1</f>
        <v>8.5623003194888136E-2</v>
      </c>
      <c r="K195" s="2">
        <f t="shared" ref="K195:K258" si="16">D195-E195</f>
        <v>0.73000000000000398</v>
      </c>
      <c r="L195" s="2">
        <f t="shared" si="13"/>
        <v>1.2059999999999989</v>
      </c>
    </row>
    <row r="196" spans="1:12" x14ac:dyDescent="0.25">
      <c r="A196" s="1">
        <v>45946</v>
      </c>
      <c r="B196">
        <v>101.1</v>
      </c>
      <c r="C196">
        <v>101.1</v>
      </c>
      <c r="D196">
        <v>101.8</v>
      </c>
      <c r="E196">
        <v>101.1</v>
      </c>
      <c r="F196" t="s">
        <v>36</v>
      </c>
      <c r="G196" s="7">
        <v>-8.2000000000000007E-3</v>
      </c>
      <c r="H196" s="2">
        <f t="shared" si="12"/>
        <v>101.89800000000001</v>
      </c>
      <c r="I196" s="2">
        <f t="shared" si="14"/>
        <v>97.713999999999984</v>
      </c>
      <c r="J196" s="3">
        <f t="shared" si="15"/>
        <v>7.6677316293929598E-2</v>
      </c>
      <c r="K196" s="2">
        <f t="shared" si="16"/>
        <v>0.70000000000000284</v>
      </c>
      <c r="L196" s="2">
        <f t="shared" si="13"/>
        <v>1.0904999999999987</v>
      </c>
    </row>
    <row r="197" spans="1:12" x14ac:dyDescent="0.25">
      <c r="A197" s="1">
        <v>45947</v>
      </c>
      <c r="B197">
        <v>101.1</v>
      </c>
      <c r="C197">
        <v>101.6</v>
      </c>
      <c r="D197">
        <v>101.6</v>
      </c>
      <c r="E197">
        <v>101.05</v>
      </c>
      <c r="F197" t="s">
        <v>88</v>
      </c>
      <c r="G197" s="7">
        <v>0</v>
      </c>
      <c r="H197" s="2">
        <f t="shared" si="12"/>
        <v>101.90300000000001</v>
      </c>
      <c r="I197" s="2">
        <f t="shared" si="14"/>
        <v>97.85799999999999</v>
      </c>
      <c r="J197" s="3">
        <f t="shared" si="15"/>
        <v>7.6677316293929598E-2</v>
      </c>
      <c r="K197" s="2">
        <f t="shared" si="16"/>
        <v>0.54999999999999716</v>
      </c>
      <c r="L197" s="2">
        <f t="shared" si="13"/>
        <v>1.053499999999999</v>
      </c>
    </row>
    <row r="198" spans="1:12" x14ac:dyDescent="0.25">
      <c r="A198" s="1">
        <v>45950</v>
      </c>
      <c r="B198">
        <v>101.05</v>
      </c>
      <c r="C198">
        <v>101.1</v>
      </c>
      <c r="D198">
        <v>101.1</v>
      </c>
      <c r="E198">
        <v>101</v>
      </c>
      <c r="F198" t="s">
        <v>70</v>
      </c>
      <c r="G198" s="7">
        <v>-5.0000000000000001E-4</v>
      </c>
      <c r="H198" s="2">
        <f t="shared" si="12"/>
        <v>101.9055</v>
      </c>
      <c r="I198" s="2">
        <f t="shared" si="14"/>
        <v>98.001000000000005</v>
      </c>
      <c r="J198" s="3">
        <f t="shared" si="15"/>
        <v>7.6144834930777394E-2</v>
      </c>
      <c r="K198" s="2">
        <f t="shared" si="16"/>
        <v>9.9999999999994316E-2</v>
      </c>
      <c r="L198" s="2">
        <f t="shared" si="13"/>
        <v>1.0084999999999986</v>
      </c>
    </row>
    <row r="199" spans="1:12" x14ac:dyDescent="0.25">
      <c r="A199" s="1">
        <v>45951</v>
      </c>
      <c r="B199">
        <v>101.05</v>
      </c>
      <c r="C199">
        <v>101.6</v>
      </c>
      <c r="D199">
        <v>101.6</v>
      </c>
      <c r="E199">
        <v>101</v>
      </c>
      <c r="F199" t="s">
        <v>34</v>
      </c>
      <c r="G199" s="7">
        <v>0</v>
      </c>
      <c r="H199" s="2">
        <f t="shared" si="12"/>
        <v>101.908</v>
      </c>
      <c r="I199" s="2">
        <f t="shared" si="14"/>
        <v>98.143999999999991</v>
      </c>
      <c r="J199" s="3">
        <f t="shared" si="15"/>
        <v>7.6144834930777394E-2</v>
      </c>
      <c r="K199" s="2">
        <f t="shared" si="16"/>
        <v>0.59999999999999432</v>
      </c>
      <c r="L199" s="2">
        <f t="shared" si="13"/>
        <v>1.0084999999999986</v>
      </c>
    </row>
    <row r="200" spans="1:12" x14ac:dyDescent="0.25">
      <c r="A200" s="1">
        <v>45952</v>
      </c>
      <c r="B200">
        <v>102.8</v>
      </c>
      <c r="C200">
        <v>101.49</v>
      </c>
      <c r="D200">
        <v>102.8</v>
      </c>
      <c r="E200">
        <v>101.49</v>
      </c>
      <c r="F200" t="s">
        <v>172</v>
      </c>
      <c r="G200" s="7">
        <v>1.7299999999999999E-2</v>
      </c>
      <c r="H200" s="2">
        <f t="shared" si="12"/>
        <v>102.006</v>
      </c>
      <c r="I200" s="2">
        <f t="shared" si="14"/>
        <v>98.322000000000003</v>
      </c>
      <c r="J200" s="3">
        <f t="shared" si="15"/>
        <v>9.4781682641107423E-2</v>
      </c>
      <c r="K200" s="2">
        <f t="shared" si="16"/>
        <v>1.3100000000000023</v>
      </c>
      <c r="L200" s="2">
        <f t="shared" si="13"/>
        <v>1.0539999999999985</v>
      </c>
    </row>
    <row r="201" spans="1:12" x14ac:dyDescent="0.25">
      <c r="A201" s="1">
        <v>45953</v>
      </c>
      <c r="B201">
        <v>103.8</v>
      </c>
      <c r="C201">
        <v>102.9</v>
      </c>
      <c r="D201">
        <v>103.8</v>
      </c>
      <c r="E201">
        <v>102.9</v>
      </c>
      <c r="F201" t="s">
        <v>22</v>
      </c>
      <c r="G201" s="7">
        <v>9.7000000000000003E-3</v>
      </c>
      <c r="H201" s="2">
        <f t="shared" si="12"/>
        <v>102.134</v>
      </c>
      <c r="I201" s="2">
        <f t="shared" si="14"/>
        <v>98.521000000000015</v>
      </c>
      <c r="J201" s="3">
        <f t="shared" si="15"/>
        <v>0.10543130990415328</v>
      </c>
      <c r="K201" s="2">
        <f t="shared" si="16"/>
        <v>0.89999999999999147</v>
      </c>
      <c r="L201" s="2">
        <f t="shared" si="13"/>
        <v>1.0839999999999983</v>
      </c>
    </row>
    <row r="202" spans="1:12" x14ac:dyDescent="0.25">
      <c r="A202" s="1">
        <v>45954</v>
      </c>
      <c r="B202">
        <v>103.7</v>
      </c>
      <c r="C202">
        <v>103.7</v>
      </c>
      <c r="D202">
        <v>103.7</v>
      </c>
      <c r="E202">
        <v>103.6</v>
      </c>
      <c r="F202" t="s">
        <v>173</v>
      </c>
      <c r="G202" s="7">
        <v>-1E-3</v>
      </c>
      <c r="H202" s="2">
        <f t="shared" si="12"/>
        <v>102.224</v>
      </c>
      <c r="I202" s="2">
        <f t="shared" si="14"/>
        <v>98.721000000000018</v>
      </c>
      <c r="J202" s="3">
        <f t="shared" si="15"/>
        <v>0.10436634717784865</v>
      </c>
      <c r="K202" s="2">
        <f t="shared" si="16"/>
        <v>0.10000000000000853</v>
      </c>
      <c r="L202" s="2">
        <f t="shared" si="13"/>
        <v>1.0439999999999983</v>
      </c>
    </row>
    <row r="203" spans="1:12" x14ac:dyDescent="0.25">
      <c r="A203" s="1">
        <v>45957</v>
      </c>
      <c r="B203">
        <v>103.4</v>
      </c>
      <c r="C203">
        <v>103.75</v>
      </c>
      <c r="D203">
        <v>103.75</v>
      </c>
      <c r="E203">
        <v>103</v>
      </c>
      <c r="F203" t="s">
        <v>41</v>
      </c>
      <c r="G203" s="7">
        <v>-2.8999999999999998E-3</v>
      </c>
      <c r="H203" s="2">
        <f t="shared" si="12"/>
        <v>102.2465</v>
      </c>
      <c r="I203" s="2">
        <f t="shared" si="14"/>
        <v>98.91500000000002</v>
      </c>
      <c r="J203" s="3">
        <f t="shared" si="15"/>
        <v>0.10117145899893498</v>
      </c>
      <c r="K203" s="2">
        <f t="shared" si="16"/>
        <v>0.75</v>
      </c>
      <c r="L203" s="2">
        <f t="shared" si="13"/>
        <v>0.97649999999999859</v>
      </c>
    </row>
    <row r="204" spans="1:12" x14ac:dyDescent="0.25">
      <c r="A204" s="1">
        <v>45958</v>
      </c>
      <c r="B204">
        <v>103.9</v>
      </c>
      <c r="C204">
        <v>103.7</v>
      </c>
      <c r="D204">
        <v>103.99</v>
      </c>
      <c r="E204">
        <v>103.2</v>
      </c>
      <c r="F204" t="s">
        <v>174</v>
      </c>
      <c r="G204" s="7">
        <v>4.7999999999999996E-3</v>
      </c>
      <c r="H204" s="2">
        <f t="shared" si="12"/>
        <v>102.26149999999998</v>
      </c>
      <c r="I204" s="2">
        <f t="shared" si="14"/>
        <v>99.119399999999999</v>
      </c>
      <c r="J204" s="3">
        <f t="shared" si="15"/>
        <v>0.10649627263045791</v>
      </c>
      <c r="K204" s="2">
        <f t="shared" si="16"/>
        <v>0.78999999999999204</v>
      </c>
      <c r="L204" s="2">
        <f t="shared" si="13"/>
        <v>0.96349999999999836</v>
      </c>
    </row>
    <row r="205" spans="1:12" x14ac:dyDescent="0.25">
      <c r="A205" s="1">
        <v>45959</v>
      </c>
      <c r="B205">
        <v>103.95</v>
      </c>
      <c r="C205">
        <v>104</v>
      </c>
      <c r="D205">
        <v>104</v>
      </c>
      <c r="E205">
        <v>103.4</v>
      </c>
      <c r="F205" t="s">
        <v>26</v>
      </c>
      <c r="G205" s="7">
        <v>5.0000000000000001E-4</v>
      </c>
      <c r="H205" s="2">
        <f t="shared" si="12"/>
        <v>102.309</v>
      </c>
      <c r="I205" s="2">
        <f t="shared" si="14"/>
        <v>99.324399999999983</v>
      </c>
      <c r="J205" s="3">
        <f t="shared" si="15"/>
        <v>0.10702875399361012</v>
      </c>
      <c r="K205" s="2">
        <f t="shared" si="16"/>
        <v>0.59999999999999432</v>
      </c>
      <c r="L205" s="2">
        <f t="shared" si="13"/>
        <v>0.94149999999999845</v>
      </c>
    </row>
    <row r="206" spans="1:12" x14ac:dyDescent="0.25">
      <c r="A206" s="1">
        <v>45960</v>
      </c>
      <c r="B206">
        <v>104.2</v>
      </c>
      <c r="C206">
        <v>103.95</v>
      </c>
      <c r="D206">
        <v>104.2</v>
      </c>
      <c r="E206">
        <v>103.95</v>
      </c>
      <c r="F206" t="s">
        <v>175</v>
      </c>
      <c r="G206" s="7">
        <v>2.3999999999999998E-3</v>
      </c>
      <c r="H206" s="2">
        <f t="shared" si="12"/>
        <v>102.369</v>
      </c>
      <c r="I206" s="2">
        <f t="shared" si="14"/>
        <v>99.532599999999988</v>
      </c>
      <c r="J206" s="3">
        <f t="shared" si="15"/>
        <v>0.10969116080937158</v>
      </c>
      <c r="K206" s="2">
        <f t="shared" si="16"/>
        <v>0.25</v>
      </c>
      <c r="L206" s="2">
        <f t="shared" si="13"/>
        <v>0.92149999999999888</v>
      </c>
    </row>
    <row r="207" spans="1:12" x14ac:dyDescent="0.25">
      <c r="A207" s="1">
        <v>45961</v>
      </c>
      <c r="B207">
        <v>105.48</v>
      </c>
      <c r="C207">
        <v>104.2</v>
      </c>
      <c r="D207">
        <v>105.48</v>
      </c>
      <c r="E207">
        <v>104.2</v>
      </c>
      <c r="F207" t="s">
        <v>176</v>
      </c>
      <c r="G207" s="7">
        <v>1.23E-2</v>
      </c>
      <c r="H207" s="2">
        <f t="shared" si="12"/>
        <v>102.49600000000001</v>
      </c>
      <c r="I207" s="2">
        <f t="shared" si="14"/>
        <v>99.764199999999988</v>
      </c>
      <c r="J207" s="3">
        <f t="shared" si="15"/>
        <v>0.12332268370607036</v>
      </c>
      <c r="K207" s="2">
        <f t="shared" si="16"/>
        <v>1.2800000000000011</v>
      </c>
      <c r="L207" s="2">
        <f t="shared" si="13"/>
        <v>0.78599999999999925</v>
      </c>
    </row>
    <row r="208" spans="1:12" x14ac:dyDescent="0.25">
      <c r="A208" s="1">
        <v>45964</v>
      </c>
      <c r="B208">
        <v>105.4</v>
      </c>
      <c r="C208">
        <v>105</v>
      </c>
      <c r="D208">
        <v>105.4</v>
      </c>
      <c r="E208">
        <v>104.4</v>
      </c>
      <c r="F208" t="s">
        <v>13</v>
      </c>
      <c r="G208" s="7">
        <v>-8.0000000000000004E-4</v>
      </c>
      <c r="H208" s="2">
        <f t="shared" si="12"/>
        <v>102.66600000000001</v>
      </c>
      <c r="I208" s="2">
        <f t="shared" si="14"/>
        <v>99.994199999999964</v>
      </c>
      <c r="J208" s="3">
        <f t="shared" si="15"/>
        <v>0.1224707135250267</v>
      </c>
      <c r="K208" s="2">
        <f t="shared" si="16"/>
        <v>1</v>
      </c>
      <c r="L208" s="2">
        <f t="shared" si="13"/>
        <v>0.80599999999999949</v>
      </c>
    </row>
    <row r="209" spans="1:12" x14ac:dyDescent="0.25">
      <c r="A209" s="1">
        <v>45965</v>
      </c>
      <c r="B209">
        <v>105.5</v>
      </c>
      <c r="C209">
        <v>105.4</v>
      </c>
      <c r="D209">
        <v>105.6</v>
      </c>
      <c r="E209">
        <v>104.5</v>
      </c>
      <c r="F209" t="s">
        <v>177</v>
      </c>
      <c r="G209" s="7">
        <v>8.9999999999999998E-4</v>
      </c>
      <c r="H209" s="2">
        <f t="shared" si="12"/>
        <v>102.8065</v>
      </c>
      <c r="I209" s="2">
        <f t="shared" si="14"/>
        <v>100.22419999999997</v>
      </c>
      <c r="J209" s="3">
        <f t="shared" si="15"/>
        <v>0.12353567625133111</v>
      </c>
      <c r="K209" s="2">
        <f t="shared" si="16"/>
        <v>1.0999999999999943</v>
      </c>
      <c r="L209" s="2">
        <f t="shared" si="13"/>
        <v>0.82149999999999967</v>
      </c>
    </row>
    <row r="210" spans="1:12" x14ac:dyDescent="0.25">
      <c r="A210" s="1">
        <v>45966</v>
      </c>
      <c r="B210">
        <v>106.94</v>
      </c>
      <c r="C210">
        <v>106</v>
      </c>
      <c r="D210">
        <v>107</v>
      </c>
      <c r="E210">
        <v>105.01</v>
      </c>
      <c r="F210" t="s">
        <v>178</v>
      </c>
      <c r="G210" s="7">
        <v>1.3599999999999999E-2</v>
      </c>
      <c r="H210" s="2">
        <f t="shared" si="12"/>
        <v>103.05400000000002</v>
      </c>
      <c r="I210" s="2">
        <f t="shared" si="14"/>
        <v>100.48459999999997</v>
      </c>
      <c r="J210" s="3">
        <f t="shared" si="15"/>
        <v>0.13887113951011698</v>
      </c>
      <c r="K210" s="2">
        <f t="shared" si="16"/>
        <v>1.9899999999999949</v>
      </c>
      <c r="L210" s="2">
        <f t="shared" si="13"/>
        <v>0.78599999999999925</v>
      </c>
    </row>
    <row r="211" spans="1:12" x14ac:dyDescent="0.25">
      <c r="A211" s="1">
        <v>45967</v>
      </c>
      <c r="B211">
        <v>107.5</v>
      </c>
      <c r="C211">
        <v>107.8</v>
      </c>
      <c r="D211">
        <v>107.8</v>
      </c>
      <c r="E211">
        <v>106.94</v>
      </c>
      <c r="F211" t="s">
        <v>179</v>
      </c>
      <c r="G211" s="7">
        <v>5.1999999999999998E-3</v>
      </c>
      <c r="H211" s="2">
        <f t="shared" si="12"/>
        <v>103.37899999999999</v>
      </c>
      <c r="I211" s="2">
        <f t="shared" si="14"/>
        <v>100.76039999999998</v>
      </c>
      <c r="J211" s="3">
        <f t="shared" si="15"/>
        <v>0.14483493077742282</v>
      </c>
      <c r="K211" s="2">
        <f t="shared" si="16"/>
        <v>0.85999999999999943</v>
      </c>
      <c r="L211" s="2">
        <f t="shared" si="13"/>
        <v>0.77999999999999903</v>
      </c>
    </row>
    <row r="212" spans="1:12" x14ac:dyDescent="0.25">
      <c r="A212" s="1">
        <v>45968</v>
      </c>
      <c r="B212">
        <v>108</v>
      </c>
      <c r="C212">
        <v>107.5</v>
      </c>
      <c r="D212">
        <v>109</v>
      </c>
      <c r="E212">
        <v>107</v>
      </c>
      <c r="F212" t="s">
        <v>180</v>
      </c>
      <c r="G212" s="7">
        <v>4.7000000000000002E-3</v>
      </c>
      <c r="H212" s="2">
        <f t="shared" si="12"/>
        <v>103.70900000000002</v>
      </c>
      <c r="I212" s="2">
        <f t="shared" si="14"/>
        <v>101.04039999999998</v>
      </c>
      <c r="J212" s="3">
        <f t="shared" si="15"/>
        <v>0.15015974440894553</v>
      </c>
      <c r="K212" s="2">
        <f t="shared" si="16"/>
        <v>2</v>
      </c>
      <c r="L212" s="2">
        <f t="shared" si="13"/>
        <v>0.83099999999999885</v>
      </c>
    </row>
    <row r="213" spans="1:12" x14ac:dyDescent="0.25">
      <c r="A213" s="1">
        <v>45971</v>
      </c>
      <c r="B213">
        <v>108.6</v>
      </c>
      <c r="C213">
        <v>110</v>
      </c>
      <c r="D213">
        <v>111.3</v>
      </c>
      <c r="E213">
        <v>108.01</v>
      </c>
      <c r="F213" t="s">
        <v>28</v>
      </c>
      <c r="G213" s="7">
        <v>5.5999999999999999E-3</v>
      </c>
      <c r="H213" s="2">
        <f t="shared" si="12"/>
        <v>104.069</v>
      </c>
      <c r="I213" s="2">
        <f t="shared" si="14"/>
        <v>101.33239999999998</v>
      </c>
      <c r="J213" s="3">
        <f t="shared" si="15"/>
        <v>0.15654952076677309</v>
      </c>
      <c r="K213" s="2">
        <f t="shared" si="16"/>
        <v>3.289999999999992</v>
      </c>
      <c r="L213" s="2">
        <f t="shared" si="13"/>
        <v>0.94649999999999823</v>
      </c>
    </row>
    <row r="214" spans="1:12" x14ac:dyDescent="0.25">
      <c r="A214" s="1">
        <v>45972</v>
      </c>
      <c r="B214">
        <v>108.8</v>
      </c>
      <c r="C214">
        <v>108.6</v>
      </c>
      <c r="D214">
        <v>109.9</v>
      </c>
      <c r="E214">
        <v>108.59</v>
      </c>
      <c r="F214" t="s">
        <v>181</v>
      </c>
      <c r="G214" s="7">
        <v>1.8E-3</v>
      </c>
      <c r="H214" s="2">
        <f t="shared" ref="H214:H277" si="17">AVERAGE(B195:B214)</f>
        <v>104.4105</v>
      </c>
      <c r="I214" s="2">
        <f t="shared" si="14"/>
        <v>101.62839999999998</v>
      </c>
      <c r="J214" s="3">
        <f t="shared" si="15"/>
        <v>0.15867944621938213</v>
      </c>
      <c r="K214" s="2">
        <f t="shared" si="16"/>
        <v>1.3100000000000023</v>
      </c>
      <c r="L214" s="2">
        <f t="shared" ref="L214:L277" si="18">AVERAGE(K195:K214)</f>
        <v>1.0104999999999982</v>
      </c>
    </row>
    <row r="215" spans="1:12" x14ac:dyDescent="0.25">
      <c r="A215" s="1"/>
      <c r="G215" s="7"/>
      <c r="H215" s="2">
        <f t="shared" si="17"/>
        <v>104.54052631578948</v>
      </c>
      <c r="I215" s="2">
        <f t="shared" si="14"/>
        <v>101.78408163265304</v>
      </c>
      <c r="J215" s="3">
        <f t="shared" si="15"/>
        <v>-1</v>
      </c>
      <c r="K215" s="2">
        <f t="shared" si="16"/>
        <v>0</v>
      </c>
      <c r="L215" s="2">
        <f t="shared" si="18"/>
        <v>0.97399999999999809</v>
      </c>
    </row>
    <row r="216" spans="1:12" x14ac:dyDescent="0.25">
      <c r="A216" s="1"/>
      <c r="G216" s="7"/>
      <c r="H216" s="2">
        <f t="shared" si="17"/>
        <v>104.73166666666667</v>
      </c>
      <c r="I216" s="2">
        <f t="shared" si="14"/>
        <v>101.95145833333332</v>
      </c>
      <c r="J216" s="3">
        <f t="shared" si="15"/>
        <v>-1</v>
      </c>
      <c r="K216" s="2">
        <f t="shared" si="16"/>
        <v>0</v>
      </c>
      <c r="L216" s="2">
        <f t="shared" si="18"/>
        <v>0.93899999999999795</v>
      </c>
    </row>
    <row r="217" spans="1:12" x14ac:dyDescent="0.25">
      <c r="A217" s="1"/>
      <c r="G217" s="7"/>
      <c r="H217" s="2">
        <f t="shared" si="17"/>
        <v>104.94529411764705</v>
      </c>
      <c r="I217" s="2">
        <f t="shared" si="14"/>
        <v>102.08872340425532</v>
      </c>
      <c r="J217" s="3">
        <f t="shared" si="15"/>
        <v>-1</v>
      </c>
      <c r="K217" s="2">
        <f t="shared" si="16"/>
        <v>0</v>
      </c>
      <c r="L217" s="2">
        <f t="shared" si="18"/>
        <v>0.91149999999999809</v>
      </c>
    </row>
    <row r="218" spans="1:12" x14ac:dyDescent="0.25">
      <c r="A218" s="1"/>
      <c r="G218" s="7"/>
      <c r="H218" s="2">
        <f t="shared" si="17"/>
        <v>105.18875</v>
      </c>
      <c r="I218" s="2">
        <f t="shared" si="14"/>
        <v>102.23434782608697</v>
      </c>
      <c r="J218" s="3">
        <f t="shared" si="15"/>
        <v>-1</v>
      </c>
      <c r="K218" s="2">
        <f t="shared" si="16"/>
        <v>0</v>
      </c>
      <c r="L218" s="2">
        <f t="shared" si="18"/>
        <v>0.90649999999999831</v>
      </c>
    </row>
    <row r="219" spans="1:12" x14ac:dyDescent="0.25">
      <c r="A219" s="1"/>
      <c r="G219" s="7"/>
      <c r="H219" s="2">
        <f t="shared" si="17"/>
        <v>105.46466666666667</v>
      </c>
      <c r="I219" s="2">
        <f t="shared" si="14"/>
        <v>102.4017777777778</v>
      </c>
      <c r="J219" s="3">
        <f t="shared" si="15"/>
        <v>-1</v>
      </c>
      <c r="K219" s="2">
        <f t="shared" si="16"/>
        <v>0</v>
      </c>
      <c r="L219" s="2">
        <f t="shared" si="18"/>
        <v>0.87649999999999861</v>
      </c>
    </row>
    <row r="220" spans="1:12" x14ac:dyDescent="0.25">
      <c r="A220" s="1"/>
      <c r="G220" s="7"/>
      <c r="H220" s="2">
        <f t="shared" si="17"/>
        <v>105.65499999999999</v>
      </c>
      <c r="I220" s="2">
        <f t="shared" si="14"/>
        <v>102.54727272727274</v>
      </c>
      <c r="J220" s="3">
        <f t="shared" si="15"/>
        <v>-1</v>
      </c>
      <c r="K220" s="2">
        <f t="shared" si="16"/>
        <v>0</v>
      </c>
      <c r="L220" s="2">
        <f t="shared" si="18"/>
        <v>0.8109999999999985</v>
      </c>
    </row>
    <row r="221" spans="1:12" x14ac:dyDescent="0.25">
      <c r="A221" s="1"/>
      <c r="G221" s="7"/>
      <c r="H221" s="2">
        <f t="shared" si="17"/>
        <v>105.7976923076923</v>
      </c>
      <c r="I221" s="2">
        <f t="shared" si="14"/>
        <v>102.70441860465118</v>
      </c>
      <c r="J221" s="3">
        <f t="shared" si="15"/>
        <v>-1</v>
      </c>
      <c r="K221" s="2">
        <f t="shared" si="16"/>
        <v>0</v>
      </c>
      <c r="L221" s="2">
        <f t="shared" si="18"/>
        <v>0.7659999999999989</v>
      </c>
    </row>
    <row r="222" spans="1:12" x14ac:dyDescent="0.25">
      <c r="A222" s="1"/>
      <c r="G222" s="7"/>
      <c r="H222" s="2">
        <f t="shared" si="17"/>
        <v>105.97249999999998</v>
      </c>
      <c r="I222" s="2">
        <f t="shared" si="14"/>
        <v>102.81880952380953</v>
      </c>
      <c r="J222" s="3">
        <f t="shared" si="15"/>
        <v>-1</v>
      </c>
      <c r="K222" s="2">
        <f t="shared" si="16"/>
        <v>0</v>
      </c>
      <c r="L222" s="2">
        <f t="shared" si="18"/>
        <v>0.76099999999999857</v>
      </c>
    </row>
    <row r="223" spans="1:12" x14ac:dyDescent="0.25">
      <c r="A223" s="1"/>
      <c r="G223" s="7"/>
      <c r="H223" s="2">
        <f t="shared" si="17"/>
        <v>106.20636363636363</v>
      </c>
      <c r="I223" s="2">
        <f t="shared" si="14"/>
        <v>102.94390243902441</v>
      </c>
      <c r="J223" s="3">
        <f t="shared" si="15"/>
        <v>-1</v>
      </c>
      <c r="K223" s="2">
        <f t="shared" si="16"/>
        <v>0</v>
      </c>
      <c r="L223" s="2">
        <f t="shared" si="18"/>
        <v>0.72349999999999848</v>
      </c>
    </row>
    <row r="224" spans="1:12" x14ac:dyDescent="0.25">
      <c r="A224" s="1"/>
      <c r="G224" s="7"/>
      <c r="H224" s="2">
        <f t="shared" si="17"/>
        <v>106.43700000000001</v>
      </c>
      <c r="I224" s="2">
        <f t="shared" si="14"/>
        <v>103.07550000000001</v>
      </c>
      <c r="J224" s="3">
        <f t="shared" si="15"/>
        <v>-1</v>
      </c>
      <c r="K224" s="2">
        <f t="shared" si="16"/>
        <v>0</v>
      </c>
      <c r="L224" s="2">
        <f t="shared" si="18"/>
        <v>0.68399999999999894</v>
      </c>
    </row>
    <row r="225" spans="1:12" x14ac:dyDescent="0.25">
      <c r="A225" s="1"/>
      <c r="G225" s="7"/>
      <c r="H225" s="2">
        <f t="shared" si="17"/>
        <v>106.71333333333332</v>
      </c>
      <c r="I225" s="2">
        <f t="shared" si="14"/>
        <v>103.18282051282054</v>
      </c>
      <c r="J225" s="3">
        <f t="shared" si="15"/>
        <v>-1</v>
      </c>
      <c r="K225" s="2">
        <f t="shared" si="16"/>
        <v>0</v>
      </c>
      <c r="L225" s="2">
        <f t="shared" si="18"/>
        <v>0.65399999999999925</v>
      </c>
    </row>
    <row r="226" spans="1:12" x14ac:dyDescent="0.25">
      <c r="A226" s="1"/>
      <c r="G226" s="7"/>
      <c r="H226" s="2">
        <f t="shared" si="17"/>
        <v>107.02749999999999</v>
      </c>
      <c r="I226" s="2">
        <f t="shared" si="14"/>
        <v>103.24026315789476</v>
      </c>
      <c r="J226" s="3">
        <f t="shared" si="15"/>
        <v>-1</v>
      </c>
      <c r="K226" s="2">
        <f t="shared" si="16"/>
        <v>0</v>
      </c>
      <c r="L226" s="2">
        <f t="shared" si="18"/>
        <v>0.64149999999999918</v>
      </c>
    </row>
    <row r="227" spans="1:12" x14ac:dyDescent="0.25">
      <c r="A227" s="1"/>
      <c r="G227" s="7"/>
      <c r="H227" s="2">
        <f t="shared" si="17"/>
        <v>107.24857142857142</v>
      </c>
      <c r="I227" s="2">
        <f t="shared" si="14"/>
        <v>103.30081081081083</v>
      </c>
      <c r="J227" s="3">
        <f t="shared" si="15"/>
        <v>-1</v>
      </c>
      <c r="K227" s="2">
        <f t="shared" si="16"/>
        <v>0</v>
      </c>
      <c r="L227" s="2">
        <f t="shared" si="18"/>
        <v>0.57749999999999913</v>
      </c>
    </row>
    <row r="228" spans="1:12" x14ac:dyDescent="0.25">
      <c r="A228" s="1"/>
      <c r="G228" s="7"/>
      <c r="H228" s="2">
        <f t="shared" si="17"/>
        <v>107.55666666666666</v>
      </c>
      <c r="I228" s="2">
        <f t="shared" si="14"/>
        <v>103.36472222222224</v>
      </c>
      <c r="J228" s="3">
        <f t="shared" si="15"/>
        <v>-1</v>
      </c>
      <c r="K228" s="2">
        <f t="shared" si="16"/>
        <v>0</v>
      </c>
      <c r="L228" s="2">
        <f t="shared" si="18"/>
        <v>0.52749999999999919</v>
      </c>
    </row>
    <row r="229" spans="1:12" x14ac:dyDescent="0.25">
      <c r="A229" s="1"/>
      <c r="G229" s="7"/>
      <c r="H229" s="2">
        <f t="shared" si="17"/>
        <v>107.96799999999999</v>
      </c>
      <c r="I229" s="2">
        <f t="shared" si="14"/>
        <v>103.43228571428571</v>
      </c>
      <c r="J229" s="3">
        <f t="shared" si="15"/>
        <v>-1</v>
      </c>
      <c r="K229" s="2">
        <f t="shared" si="16"/>
        <v>0</v>
      </c>
      <c r="L229" s="2">
        <f t="shared" si="18"/>
        <v>0.47249999999999942</v>
      </c>
    </row>
    <row r="230" spans="1:12" x14ac:dyDescent="0.25">
      <c r="A230" s="1"/>
      <c r="G230" s="7"/>
      <c r="H230" s="2">
        <f t="shared" si="17"/>
        <v>108.22500000000001</v>
      </c>
      <c r="I230" s="2">
        <f t="shared" si="14"/>
        <v>103.5085294117647</v>
      </c>
      <c r="J230" s="3">
        <f t="shared" si="15"/>
        <v>-1</v>
      </c>
      <c r="K230" s="2">
        <f t="shared" si="16"/>
        <v>0</v>
      </c>
      <c r="L230" s="2">
        <f t="shared" si="18"/>
        <v>0.37299999999999967</v>
      </c>
    </row>
    <row r="231" spans="1:12" x14ac:dyDescent="0.25">
      <c r="A231" s="1"/>
      <c r="G231" s="7"/>
      <c r="H231" s="2">
        <f t="shared" si="17"/>
        <v>108.46666666666665</v>
      </c>
      <c r="I231" s="2">
        <f t="shared" si="14"/>
        <v>103.57727272727273</v>
      </c>
      <c r="J231" s="3">
        <f t="shared" si="15"/>
        <v>-1</v>
      </c>
      <c r="K231" s="2">
        <f t="shared" si="16"/>
        <v>0</v>
      </c>
      <c r="L231" s="2">
        <f t="shared" si="18"/>
        <v>0.32999999999999974</v>
      </c>
    </row>
    <row r="232" spans="1:12" x14ac:dyDescent="0.25">
      <c r="A232" s="1"/>
      <c r="G232" s="7"/>
      <c r="H232" s="2">
        <f t="shared" si="17"/>
        <v>108.69999999999999</v>
      </c>
      <c r="I232" s="2">
        <f t="shared" si="14"/>
        <v>103.6296875</v>
      </c>
      <c r="J232" s="3">
        <f t="shared" si="15"/>
        <v>-1</v>
      </c>
      <c r="K232" s="2">
        <f t="shared" si="16"/>
        <v>0</v>
      </c>
      <c r="L232" s="2">
        <f t="shared" si="18"/>
        <v>0.2299999999999997</v>
      </c>
    </row>
    <row r="233" spans="1:12" x14ac:dyDescent="0.25">
      <c r="A233" s="1"/>
      <c r="G233" s="7"/>
      <c r="H233" s="2">
        <f t="shared" si="17"/>
        <v>108.8</v>
      </c>
      <c r="I233" s="2">
        <f t="shared" si="14"/>
        <v>103.6516129032258</v>
      </c>
      <c r="J233" s="3">
        <f t="shared" si="15"/>
        <v>-1</v>
      </c>
      <c r="K233" s="2">
        <f t="shared" si="16"/>
        <v>0</v>
      </c>
      <c r="L233" s="2">
        <f t="shared" si="18"/>
        <v>6.5500000000000114E-2</v>
      </c>
    </row>
    <row r="234" spans="1:12" x14ac:dyDescent="0.25">
      <c r="A234" s="1"/>
      <c r="G234" s="7"/>
      <c r="H234" s="2" t="e">
        <f t="shared" si="17"/>
        <v>#DIV/0!</v>
      </c>
      <c r="I234" s="2">
        <f t="shared" si="14"/>
        <v>103.65333333333334</v>
      </c>
      <c r="J234" s="3">
        <f t="shared" si="15"/>
        <v>-1</v>
      </c>
      <c r="K234" s="2">
        <f t="shared" si="16"/>
        <v>0</v>
      </c>
      <c r="L234" s="2">
        <f t="shared" si="18"/>
        <v>0</v>
      </c>
    </row>
    <row r="235" spans="1:12" x14ac:dyDescent="0.25">
      <c r="A235" s="1"/>
      <c r="G235" s="7"/>
      <c r="H235" s="2" t="e">
        <f t="shared" si="17"/>
        <v>#DIV/0!</v>
      </c>
      <c r="I235" s="2">
        <f t="shared" si="14"/>
        <v>103.67586206896551</v>
      </c>
      <c r="J235" s="3">
        <f t="shared" si="15"/>
        <v>-1</v>
      </c>
      <c r="K235" s="2">
        <f t="shared" si="16"/>
        <v>0</v>
      </c>
      <c r="L235" s="2">
        <f t="shared" si="18"/>
        <v>0</v>
      </c>
    </row>
    <row r="236" spans="1:12" x14ac:dyDescent="0.25">
      <c r="A236" s="1"/>
      <c r="G236" s="7"/>
      <c r="H236" s="2" t="e">
        <f t="shared" si="17"/>
        <v>#DIV/0!</v>
      </c>
      <c r="I236" s="2">
        <f t="shared" si="14"/>
        <v>103.70000000000002</v>
      </c>
      <c r="J236" s="3">
        <f t="shared" si="15"/>
        <v>-1</v>
      </c>
      <c r="K236" s="2">
        <f t="shared" si="16"/>
        <v>0</v>
      </c>
      <c r="L236" s="2">
        <f t="shared" si="18"/>
        <v>0</v>
      </c>
    </row>
    <row r="237" spans="1:12" x14ac:dyDescent="0.25">
      <c r="A237" s="1"/>
      <c r="G237" s="7"/>
      <c r="H237" s="2" t="e">
        <f t="shared" si="17"/>
        <v>#DIV/0!</v>
      </c>
      <c r="I237" s="2">
        <f t="shared" si="14"/>
        <v>103.72814814814816</v>
      </c>
      <c r="J237" s="3">
        <f t="shared" si="15"/>
        <v>-1</v>
      </c>
      <c r="K237" s="2">
        <f t="shared" si="16"/>
        <v>0</v>
      </c>
      <c r="L237" s="2">
        <f t="shared" si="18"/>
        <v>0</v>
      </c>
    </row>
    <row r="238" spans="1:12" x14ac:dyDescent="0.25">
      <c r="A238" s="1"/>
      <c r="G238" s="7"/>
      <c r="H238" s="2" t="e">
        <f t="shared" si="17"/>
        <v>#DIV/0!</v>
      </c>
      <c r="I238" s="2">
        <f t="shared" si="14"/>
        <v>103.7946153846154</v>
      </c>
      <c r="J238" s="3">
        <f t="shared" si="15"/>
        <v>-1</v>
      </c>
      <c r="K238" s="2">
        <f t="shared" si="16"/>
        <v>0</v>
      </c>
      <c r="L238" s="2">
        <f t="shared" si="18"/>
        <v>0</v>
      </c>
    </row>
    <row r="239" spans="1:12" x14ac:dyDescent="0.25">
      <c r="A239" s="1"/>
      <c r="G239" s="7"/>
      <c r="H239" s="2" t="e">
        <f t="shared" si="17"/>
        <v>#DIV/0!</v>
      </c>
      <c r="I239" s="2">
        <f t="shared" si="14"/>
        <v>103.83880000000001</v>
      </c>
      <c r="J239" s="3">
        <f t="shared" si="15"/>
        <v>-1</v>
      </c>
      <c r="K239" s="2">
        <f t="shared" si="16"/>
        <v>0</v>
      </c>
      <c r="L239" s="2">
        <f t="shared" si="18"/>
        <v>0</v>
      </c>
    </row>
    <row r="240" spans="1:12" x14ac:dyDescent="0.25">
      <c r="A240" s="1"/>
      <c r="G240" s="7"/>
      <c r="H240" s="2" t="e">
        <f t="shared" si="17"/>
        <v>#DIV/0!</v>
      </c>
      <c r="I240" s="2">
        <f t="shared" si="14"/>
        <v>103.91583333333335</v>
      </c>
      <c r="J240" s="3">
        <f t="shared" si="15"/>
        <v>-1</v>
      </c>
      <c r="K240" s="2">
        <f t="shared" si="16"/>
        <v>0</v>
      </c>
      <c r="L240" s="2">
        <f t="shared" si="18"/>
        <v>0</v>
      </c>
    </row>
    <row r="241" spans="1:12" x14ac:dyDescent="0.25">
      <c r="A241" s="1"/>
      <c r="G241" s="7"/>
      <c r="H241" s="2" t="e">
        <f t="shared" si="17"/>
        <v>#DIV/0!</v>
      </c>
      <c r="I241" s="2">
        <f t="shared" si="14"/>
        <v>104.04260869565218</v>
      </c>
      <c r="J241" s="3">
        <f t="shared" si="15"/>
        <v>-1</v>
      </c>
      <c r="K241" s="2">
        <f t="shared" si="16"/>
        <v>0</v>
      </c>
      <c r="L241" s="2">
        <f t="shared" si="18"/>
        <v>0</v>
      </c>
    </row>
    <row r="242" spans="1:12" x14ac:dyDescent="0.25">
      <c r="A242" s="1"/>
      <c r="G242" s="7"/>
      <c r="H242" s="2" t="e">
        <f t="shared" si="17"/>
        <v>#DIV/0!</v>
      </c>
      <c r="I242" s="2">
        <f t="shared" si="14"/>
        <v>104.1627272727273</v>
      </c>
      <c r="J242" s="3">
        <f t="shared" si="15"/>
        <v>-1</v>
      </c>
      <c r="K242" s="2">
        <f t="shared" si="16"/>
        <v>0</v>
      </c>
      <c r="L242" s="2">
        <f t="shared" si="18"/>
        <v>0</v>
      </c>
    </row>
    <row r="243" spans="1:12" x14ac:dyDescent="0.25">
      <c r="A243" s="1"/>
      <c r="G243" s="7"/>
      <c r="H243" s="2" t="e">
        <f t="shared" si="17"/>
        <v>#DIV/0!</v>
      </c>
      <c r="I243" s="2">
        <f t="shared" si="14"/>
        <v>104.29428571428573</v>
      </c>
      <c r="J243" s="3">
        <f t="shared" si="15"/>
        <v>-1</v>
      </c>
      <c r="K243" s="2">
        <f t="shared" si="16"/>
        <v>0</v>
      </c>
      <c r="L243" s="2">
        <f t="shared" si="18"/>
        <v>0</v>
      </c>
    </row>
    <row r="244" spans="1:12" x14ac:dyDescent="0.25">
      <c r="A244" s="1"/>
      <c r="G244" s="7"/>
      <c r="H244" s="2" t="e">
        <f t="shared" si="17"/>
        <v>#DIV/0!</v>
      </c>
      <c r="I244" s="2">
        <f t="shared" ref="I244:I307" si="19">AVERAGE(B195:B244)</f>
        <v>104.4105</v>
      </c>
      <c r="J244" s="3">
        <f t="shared" si="15"/>
        <v>-1</v>
      </c>
      <c r="K244" s="2">
        <f t="shared" si="16"/>
        <v>0</v>
      </c>
      <c r="L244" s="2">
        <f t="shared" si="18"/>
        <v>0</v>
      </c>
    </row>
    <row r="245" spans="1:12" x14ac:dyDescent="0.25">
      <c r="A245" s="1"/>
      <c r="G245" s="7"/>
      <c r="H245" s="2" t="e">
        <f t="shared" si="17"/>
        <v>#DIV/0!</v>
      </c>
      <c r="I245" s="2">
        <f t="shared" si="19"/>
        <v>104.54052631578948</v>
      </c>
      <c r="J245" s="3">
        <f t="shared" si="15"/>
        <v>-1</v>
      </c>
      <c r="K245" s="2">
        <f t="shared" si="16"/>
        <v>0</v>
      </c>
      <c r="L245" s="2">
        <f t="shared" si="18"/>
        <v>0</v>
      </c>
    </row>
    <row r="246" spans="1:12" x14ac:dyDescent="0.25">
      <c r="A246" s="1"/>
      <c r="G246" s="7"/>
      <c r="H246" s="2" t="e">
        <f t="shared" si="17"/>
        <v>#DIV/0!</v>
      </c>
      <c r="I246" s="2">
        <f t="shared" si="19"/>
        <v>104.73166666666667</v>
      </c>
      <c r="J246" s="3">
        <f t="shared" si="15"/>
        <v>-1</v>
      </c>
      <c r="K246" s="2">
        <f t="shared" si="16"/>
        <v>0</v>
      </c>
      <c r="L246" s="2">
        <f t="shared" si="18"/>
        <v>0</v>
      </c>
    </row>
    <row r="247" spans="1:12" x14ac:dyDescent="0.25">
      <c r="A247" s="1"/>
      <c r="G247" s="7"/>
      <c r="H247" s="2" t="e">
        <f t="shared" si="17"/>
        <v>#DIV/0!</v>
      </c>
      <c r="I247" s="2">
        <f t="shared" si="19"/>
        <v>104.94529411764705</v>
      </c>
      <c r="J247" s="3">
        <f t="shared" si="15"/>
        <v>-1</v>
      </c>
      <c r="K247" s="2">
        <f t="shared" si="16"/>
        <v>0</v>
      </c>
      <c r="L247" s="2">
        <f t="shared" si="18"/>
        <v>0</v>
      </c>
    </row>
    <row r="248" spans="1:12" x14ac:dyDescent="0.25">
      <c r="A248" s="1"/>
      <c r="G248" s="7"/>
      <c r="H248" s="2" t="e">
        <f t="shared" si="17"/>
        <v>#DIV/0!</v>
      </c>
      <c r="I248" s="2">
        <f t="shared" si="19"/>
        <v>105.18875</v>
      </c>
      <c r="J248" s="3">
        <f t="shared" si="15"/>
        <v>-1</v>
      </c>
      <c r="K248" s="2">
        <f t="shared" si="16"/>
        <v>0</v>
      </c>
      <c r="L248" s="2">
        <f t="shared" si="18"/>
        <v>0</v>
      </c>
    </row>
    <row r="249" spans="1:12" x14ac:dyDescent="0.25">
      <c r="A249" s="1"/>
      <c r="G249" s="7"/>
      <c r="H249" s="2" t="e">
        <f t="shared" si="17"/>
        <v>#DIV/0!</v>
      </c>
      <c r="I249" s="2">
        <f t="shared" si="19"/>
        <v>105.46466666666667</v>
      </c>
      <c r="J249" s="3">
        <f t="shared" si="15"/>
        <v>-1</v>
      </c>
      <c r="K249" s="2">
        <f t="shared" si="16"/>
        <v>0</v>
      </c>
      <c r="L249" s="2">
        <f t="shared" si="18"/>
        <v>0</v>
      </c>
    </row>
    <row r="250" spans="1:12" x14ac:dyDescent="0.25">
      <c r="A250" s="1"/>
      <c r="G250" s="7"/>
      <c r="H250" s="2" t="e">
        <f t="shared" si="17"/>
        <v>#DIV/0!</v>
      </c>
      <c r="I250" s="2">
        <f t="shared" si="19"/>
        <v>105.65499999999999</v>
      </c>
      <c r="J250" s="3">
        <f t="shared" si="15"/>
        <v>-1</v>
      </c>
      <c r="K250" s="2">
        <f t="shared" si="16"/>
        <v>0</v>
      </c>
      <c r="L250" s="2">
        <f t="shared" si="18"/>
        <v>0</v>
      </c>
    </row>
    <row r="251" spans="1:12" x14ac:dyDescent="0.25">
      <c r="A251" s="1"/>
      <c r="G251" s="7"/>
      <c r="H251" s="2" t="e">
        <f t="shared" si="17"/>
        <v>#DIV/0!</v>
      </c>
      <c r="I251" s="2">
        <f t="shared" si="19"/>
        <v>105.7976923076923</v>
      </c>
      <c r="J251" s="3">
        <f t="shared" si="15"/>
        <v>-1</v>
      </c>
      <c r="K251" s="2">
        <f t="shared" si="16"/>
        <v>0</v>
      </c>
      <c r="L251" s="2">
        <f t="shared" si="18"/>
        <v>0</v>
      </c>
    </row>
    <row r="252" spans="1:12" x14ac:dyDescent="0.25">
      <c r="A252" s="1"/>
      <c r="G252" s="7"/>
      <c r="H252" s="2" t="e">
        <f t="shared" si="17"/>
        <v>#DIV/0!</v>
      </c>
      <c r="I252" s="2">
        <f t="shared" si="19"/>
        <v>105.97249999999998</v>
      </c>
      <c r="J252" s="3">
        <f t="shared" si="15"/>
        <v>-1</v>
      </c>
      <c r="K252" s="2">
        <f t="shared" si="16"/>
        <v>0</v>
      </c>
      <c r="L252" s="2">
        <f t="shared" si="18"/>
        <v>0</v>
      </c>
    </row>
    <row r="253" spans="1:12" x14ac:dyDescent="0.25">
      <c r="A253" s="1"/>
      <c r="G253" s="7"/>
      <c r="H253" s="2" t="e">
        <f t="shared" si="17"/>
        <v>#DIV/0!</v>
      </c>
      <c r="I253" s="2">
        <f t="shared" si="19"/>
        <v>106.20636363636363</v>
      </c>
      <c r="J253" s="3">
        <f t="shared" si="15"/>
        <v>-1</v>
      </c>
      <c r="K253" s="2">
        <f t="shared" si="16"/>
        <v>0</v>
      </c>
      <c r="L253" s="2">
        <f t="shared" si="18"/>
        <v>0</v>
      </c>
    </row>
    <row r="254" spans="1:12" x14ac:dyDescent="0.25">
      <c r="A254" s="1"/>
      <c r="G254" s="7"/>
      <c r="H254" s="2" t="e">
        <f t="shared" si="17"/>
        <v>#DIV/0!</v>
      </c>
      <c r="I254" s="2">
        <f t="shared" si="19"/>
        <v>106.43700000000001</v>
      </c>
      <c r="J254" s="3">
        <f t="shared" si="15"/>
        <v>-1</v>
      </c>
      <c r="K254" s="2">
        <f t="shared" si="16"/>
        <v>0</v>
      </c>
      <c r="L254" s="2">
        <f t="shared" si="18"/>
        <v>0</v>
      </c>
    </row>
    <row r="255" spans="1:12" x14ac:dyDescent="0.25">
      <c r="A255" s="1"/>
      <c r="G255" s="7"/>
      <c r="H255" s="2" t="e">
        <f t="shared" si="17"/>
        <v>#DIV/0!</v>
      </c>
      <c r="I255" s="2">
        <f t="shared" si="19"/>
        <v>106.71333333333332</v>
      </c>
      <c r="J255" s="3">
        <f t="shared" si="15"/>
        <v>-1</v>
      </c>
      <c r="K255" s="2">
        <f t="shared" si="16"/>
        <v>0</v>
      </c>
      <c r="L255" s="2">
        <f t="shared" si="18"/>
        <v>0</v>
      </c>
    </row>
    <row r="256" spans="1:12" x14ac:dyDescent="0.25">
      <c r="A256" s="1"/>
      <c r="G256" s="7"/>
      <c r="H256" s="2" t="e">
        <f t="shared" si="17"/>
        <v>#DIV/0!</v>
      </c>
      <c r="I256" s="2">
        <f t="shared" si="19"/>
        <v>107.02749999999999</v>
      </c>
      <c r="J256" s="3">
        <f t="shared" si="15"/>
        <v>-1</v>
      </c>
      <c r="K256" s="2">
        <f t="shared" si="16"/>
        <v>0</v>
      </c>
      <c r="L256" s="2">
        <f t="shared" si="18"/>
        <v>0</v>
      </c>
    </row>
    <row r="257" spans="1:12" x14ac:dyDescent="0.25">
      <c r="A257" s="1"/>
      <c r="G257" s="7"/>
      <c r="H257" s="2" t="e">
        <f t="shared" si="17"/>
        <v>#DIV/0!</v>
      </c>
      <c r="I257" s="2">
        <f t="shared" si="19"/>
        <v>107.24857142857142</v>
      </c>
      <c r="J257" s="3">
        <f t="shared" si="15"/>
        <v>-1</v>
      </c>
      <c r="K257" s="2">
        <f t="shared" si="16"/>
        <v>0</v>
      </c>
      <c r="L257" s="2">
        <f t="shared" si="18"/>
        <v>0</v>
      </c>
    </row>
    <row r="258" spans="1:12" x14ac:dyDescent="0.25">
      <c r="A258" s="1"/>
      <c r="G258" s="7"/>
      <c r="H258" s="2" t="e">
        <f t="shared" si="17"/>
        <v>#DIV/0!</v>
      </c>
      <c r="I258" s="2">
        <f t="shared" si="19"/>
        <v>107.55666666666666</v>
      </c>
      <c r="J258" s="3">
        <f t="shared" si="15"/>
        <v>-1</v>
      </c>
      <c r="K258" s="2">
        <f t="shared" si="16"/>
        <v>0</v>
      </c>
      <c r="L258" s="2">
        <f t="shared" si="18"/>
        <v>0</v>
      </c>
    </row>
    <row r="259" spans="1:12" x14ac:dyDescent="0.25">
      <c r="A259" s="1"/>
      <c r="G259" s="7"/>
      <c r="H259" s="2" t="e">
        <f t="shared" si="17"/>
        <v>#DIV/0!</v>
      </c>
      <c r="I259" s="2">
        <f t="shared" si="19"/>
        <v>107.96799999999999</v>
      </c>
      <c r="J259" s="3">
        <f t="shared" ref="J259:J322" si="20">(B259/$B$2)-1</f>
        <v>-1</v>
      </c>
      <c r="K259" s="2">
        <f t="shared" ref="K259:K322" si="21">D259-E259</f>
        <v>0</v>
      </c>
      <c r="L259" s="2">
        <f t="shared" si="18"/>
        <v>0</v>
      </c>
    </row>
    <row r="260" spans="1:12" x14ac:dyDescent="0.25">
      <c r="A260" s="1"/>
      <c r="G260" s="7"/>
      <c r="H260" s="2" t="e">
        <f t="shared" si="17"/>
        <v>#DIV/0!</v>
      </c>
      <c r="I260" s="2">
        <f t="shared" si="19"/>
        <v>108.22500000000001</v>
      </c>
      <c r="J260" s="3">
        <f t="shared" si="20"/>
        <v>-1</v>
      </c>
      <c r="K260" s="2">
        <f t="shared" si="21"/>
        <v>0</v>
      </c>
      <c r="L260" s="2">
        <f t="shared" si="18"/>
        <v>0</v>
      </c>
    </row>
    <row r="261" spans="1:12" x14ac:dyDescent="0.25">
      <c r="A261" s="1"/>
      <c r="G261" s="7"/>
      <c r="H261" s="2" t="e">
        <f t="shared" si="17"/>
        <v>#DIV/0!</v>
      </c>
      <c r="I261" s="2">
        <f t="shared" si="19"/>
        <v>108.46666666666665</v>
      </c>
      <c r="J261" s="3">
        <f t="shared" si="20"/>
        <v>-1</v>
      </c>
      <c r="K261" s="2">
        <f t="shared" si="21"/>
        <v>0</v>
      </c>
      <c r="L261" s="2">
        <f t="shared" si="18"/>
        <v>0</v>
      </c>
    </row>
    <row r="262" spans="1:12" x14ac:dyDescent="0.25">
      <c r="A262" s="1"/>
      <c r="G262" s="7"/>
      <c r="H262" s="2" t="e">
        <f t="shared" si="17"/>
        <v>#DIV/0!</v>
      </c>
      <c r="I262" s="2">
        <f t="shared" si="19"/>
        <v>108.69999999999999</v>
      </c>
      <c r="J262" s="3">
        <f t="shared" si="20"/>
        <v>-1</v>
      </c>
      <c r="K262" s="2">
        <f t="shared" si="21"/>
        <v>0</v>
      </c>
      <c r="L262" s="2">
        <f t="shared" si="18"/>
        <v>0</v>
      </c>
    </row>
    <row r="263" spans="1:12" x14ac:dyDescent="0.25">
      <c r="A263" s="1"/>
      <c r="G263" s="7"/>
      <c r="H263" s="2" t="e">
        <f t="shared" si="17"/>
        <v>#DIV/0!</v>
      </c>
      <c r="I263" s="2">
        <f t="shared" si="19"/>
        <v>108.8</v>
      </c>
      <c r="J263" s="3">
        <f t="shared" si="20"/>
        <v>-1</v>
      </c>
      <c r="K263" s="2">
        <f t="shared" si="21"/>
        <v>0</v>
      </c>
      <c r="L263" s="2">
        <f t="shared" si="18"/>
        <v>0</v>
      </c>
    </row>
    <row r="264" spans="1:12" x14ac:dyDescent="0.25">
      <c r="A264" s="1"/>
      <c r="G264" s="7"/>
      <c r="H264" s="2" t="e">
        <f t="shared" si="17"/>
        <v>#DIV/0!</v>
      </c>
      <c r="I264" s="2" t="e">
        <f t="shared" si="19"/>
        <v>#DIV/0!</v>
      </c>
      <c r="J264" s="3">
        <f t="shared" si="20"/>
        <v>-1</v>
      </c>
      <c r="K264" s="2">
        <f t="shared" si="21"/>
        <v>0</v>
      </c>
      <c r="L264" s="2">
        <f t="shared" si="18"/>
        <v>0</v>
      </c>
    </row>
    <row r="265" spans="1:12" x14ac:dyDescent="0.25">
      <c r="A265" s="1"/>
      <c r="G265" s="7"/>
      <c r="H265" s="2" t="e">
        <f t="shared" si="17"/>
        <v>#DIV/0!</v>
      </c>
      <c r="I265" s="2" t="e">
        <f t="shared" si="19"/>
        <v>#DIV/0!</v>
      </c>
      <c r="J265" s="3">
        <f t="shared" si="20"/>
        <v>-1</v>
      </c>
      <c r="K265" s="2">
        <f t="shared" si="21"/>
        <v>0</v>
      </c>
      <c r="L265" s="2">
        <f t="shared" si="18"/>
        <v>0</v>
      </c>
    </row>
    <row r="266" spans="1:12" x14ac:dyDescent="0.25">
      <c r="A266" s="1"/>
      <c r="G266" s="7"/>
      <c r="H266" s="2" t="e">
        <f t="shared" si="17"/>
        <v>#DIV/0!</v>
      </c>
      <c r="I266" s="2" t="e">
        <f t="shared" si="19"/>
        <v>#DIV/0!</v>
      </c>
      <c r="J266" s="3">
        <f t="shared" si="20"/>
        <v>-1</v>
      </c>
      <c r="K266" s="2">
        <f t="shared" si="21"/>
        <v>0</v>
      </c>
      <c r="L266" s="2">
        <f t="shared" si="18"/>
        <v>0</v>
      </c>
    </row>
    <row r="267" spans="1:12" x14ac:dyDescent="0.25">
      <c r="A267" s="1"/>
      <c r="G267" s="7"/>
      <c r="H267" s="2" t="e">
        <f t="shared" si="17"/>
        <v>#DIV/0!</v>
      </c>
      <c r="I267" s="2" t="e">
        <f t="shared" si="19"/>
        <v>#DIV/0!</v>
      </c>
      <c r="J267" s="3">
        <f t="shared" si="20"/>
        <v>-1</v>
      </c>
      <c r="K267" s="2">
        <f t="shared" si="21"/>
        <v>0</v>
      </c>
      <c r="L267" s="2">
        <f t="shared" si="18"/>
        <v>0</v>
      </c>
    </row>
    <row r="268" spans="1:12" x14ac:dyDescent="0.25">
      <c r="A268" s="1"/>
      <c r="G268" s="7"/>
      <c r="H268" s="2" t="e">
        <f t="shared" si="17"/>
        <v>#DIV/0!</v>
      </c>
      <c r="I268" s="2" t="e">
        <f t="shared" si="19"/>
        <v>#DIV/0!</v>
      </c>
      <c r="J268" s="3">
        <f t="shared" si="20"/>
        <v>-1</v>
      </c>
      <c r="K268" s="2">
        <f t="shared" si="21"/>
        <v>0</v>
      </c>
      <c r="L268" s="2">
        <f t="shared" si="18"/>
        <v>0</v>
      </c>
    </row>
    <row r="269" spans="1:12" x14ac:dyDescent="0.25">
      <c r="A269" s="1"/>
      <c r="G269" s="7"/>
      <c r="H269" s="2" t="e">
        <f t="shared" si="17"/>
        <v>#DIV/0!</v>
      </c>
      <c r="I269" s="2" t="e">
        <f t="shared" si="19"/>
        <v>#DIV/0!</v>
      </c>
      <c r="J269" s="3">
        <f t="shared" si="20"/>
        <v>-1</v>
      </c>
      <c r="K269" s="2">
        <f t="shared" si="21"/>
        <v>0</v>
      </c>
      <c r="L269" s="2">
        <f t="shared" si="18"/>
        <v>0</v>
      </c>
    </row>
    <row r="270" spans="1:12" x14ac:dyDescent="0.25">
      <c r="A270" s="1"/>
      <c r="G270" s="7"/>
      <c r="H270" s="2" t="e">
        <f t="shared" si="17"/>
        <v>#DIV/0!</v>
      </c>
      <c r="I270" s="2" t="e">
        <f t="shared" si="19"/>
        <v>#DIV/0!</v>
      </c>
      <c r="J270" s="3">
        <f t="shared" si="20"/>
        <v>-1</v>
      </c>
      <c r="K270" s="2">
        <f t="shared" si="21"/>
        <v>0</v>
      </c>
      <c r="L270" s="2">
        <f t="shared" si="18"/>
        <v>0</v>
      </c>
    </row>
    <row r="271" spans="1:12" x14ac:dyDescent="0.25">
      <c r="A271" s="1"/>
      <c r="G271" s="7"/>
      <c r="H271" s="2" t="e">
        <f t="shared" si="17"/>
        <v>#DIV/0!</v>
      </c>
      <c r="I271" s="2" t="e">
        <f t="shared" si="19"/>
        <v>#DIV/0!</v>
      </c>
      <c r="J271" s="3">
        <f t="shared" si="20"/>
        <v>-1</v>
      </c>
      <c r="K271" s="2">
        <f t="shared" si="21"/>
        <v>0</v>
      </c>
      <c r="L271" s="2">
        <f t="shared" si="18"/>
        <v>0</v>
      </c>
    </row>
    <row r="272" spans="1:12" x14ac:dyDescent="0.25">
      <c r="A272" s="1"/>
      <c r="G272" s="7"/>
      <c r="H272" s="2" t="e">
        <f t="shared" si="17"/>
        <v>#DIV/0!</v>
      </c>
      <c r="I272" s="2" t="e">
        <f t="shared" si="19"/>
        <v>#DIV/0!</v>
      </c>
      <c r="J272" s="3">
        <f t="shared" si="20"/>
        <v>-1</v>
      </c>
      <c r="K272" s="2">
        <f t="shared" si="21"/>
        <v>0</v>
      </c>
      <c r="L272" s="2">
        <f t="shared" si="18"/>
        <v>0</v>
      </c>
    </row>
    <row r="273" spans="1:12" x14ac:dyDescent="0.25">
      <c r="A273" s="1"/>
      <c r="G273" s="7"/>
      <c r="H273" s="2" t="e">
        <f t="shared" si="17"/>
        <v>#DIV/0!</v>
      </c>
      <c r="I273" s="2" t="e">
        <f t="shared" si="19"/>
        <v>#DIV/0!</v>
      </c>
      <c r="J273" s="3">
        <f t="shared" si="20"/>
        <v>-1</v>
      </c>
      <c r="K273" s="2">
        <f t="shared" si="21"/>
        <v>0</v>
      </c>
      <c r="L273" s="2">
        <f t="shared" si="18"/>
        <v>0</v>
      </c>
    </row>
    <row r="274" spans="1:12" x14ac:dyDescent="0.25">
      <c r="A274" s="1"/>
      <c r="G274" s="7"/>
      <c r="H274" s="2" t="e">
        <f t="shared" si="17"/>
        <v>#DIV/0!</v>
      </c>
      <c r="I274" s="2" t="e">
        <f t="shared" si="19"/>
        <v>#DIV/0!</v>
      </c>
      <c r="J274" s="3">
        <f t="shared" si="20"/>
        <v>-1</v>
      </c>
      <c r="K274" s="2">
        <f t="shared" si="21"/>
        <v>0</v>
      </c>
      <c r="L274" s="2">
        <f t="shared" si="18"/>
        <v>0</v>
      </c>
    </row>
    <row r="275" spans="1:12" x14ac:dyDescent="0.25">
      <c r="A275" s="1"/>
      <c r="G275" s="7"/>
      <c r="H275" s="2" t="e">
        <f t="shared" si="17"/>
        <v>#DIV/0!</v>
      </c>
      <c r="I275" s="2" t="e">
        <f t="shared" si="19"/>
        <v>#DIV/0!</v>
      </c>
      <c r="J275" s="3">
        <f t="shared" si="20"/>
        <v>-1</v>
      </c>
      <c r="K275" s="2">
        <f t="shared" si="21"/>
        <v>0</v>
      </c>
      <c r="L275" s="2">
        <f t="shared" si="18"/>
        <v>0</v>
      </c>
    </row>
    <row r="276" spans="1:12" x14ac:dyDescent="0.25">
      <c r="A276" s="1"/>
      <c r="G276" s="7"/>
      <c r="H276" s="2" t="e">
        <f t="shared" si="17"/>
        <v>#DIV/0!</v>
      </c>
      <c r="I276" s="2" t="e">
        <f t="shared" si="19"/>
        <v>#DIV/0!</v>
      </c>
      <c r="J276" s="3">
        <f t="shared" si="20"/>
        <v>-1</v>
      </c>
      <c r="K276" s="2">
        <f t="shared" si="21"/>
        <v>0</v>
      </c>
      <c r="L276" s="2">
        <f t="shared" si="18"/>
        <v>0</v>
      </c>
    </row>
    <row r="277" spans="1:12" x14ac:dyDescent="0.25">
      <c r="A277" s="1"/>
      <c r="G277" s="7"/>
      <c r="H277" s="2" t="e">
        <f t="shared" si="17"/>
        <v>#DIV/0!</v>
      </c>
      <c r="I277" s="2" t="e">
        <f t="shared" si="19"/>
        <v>#DIV/0!</v>
      </c>
      <c r="J277" s="3">
        <f t="shared" si="20"/>
        <v>-1</v>
      </c>
      <c r="K277" s="2">
        <f t="shared" si="21"/>
        <v>0</v>
      </c>
      <c r="L277" s="2">
        <f t="shared" si="18"/>
        <v>0</v>
      </c>
    </row>
    <row r="278" spans="1:12" x14ac:dyDescent="0.25">
      <c r="A278" s="1"/>
      <c r="G278" s="7"/>
      <c r="H278" s="2" t="e">
        <f t="shared" ref="H278:H341" si="22">AVERAGE(B259:B278)</f>
        <v>#DIV/0!</v>
      </c>
      <c r="I278" s="2" t="e">
        <f t="shared" si="19"/>
        <v>#DIV/0!</v>
      </c>
      <c r="J278" s="3">
        <f t="shared" si="20"/>
        <v>-1</v>
      </c>
      <c r="K278" s="2">
        <f t="shared" si="21"/>
        <v>0</v>
      </c>
      <c r="L278" s="2">
        <f t="shared" ref="L278:L341" si="23">AVERAGE(K259:K278)</f>
        <v>0</v>
      </c>
    </row>
    <row r="279" spans="1:12" x14ac:dyDescent="0.25">
      <c r="A279" s="1"/>
      <c r="G279" s="7"/>
      <c r="H279" s="2" t="e">
        <f t="shared" si="22"/>
        <v>#DIV/0!</v>
      </c>
      <c r="I279" s="2" t="e">
        <f t="shared" si="19"/>
        <v>#DIV/0!</v>
      </c>
      <c r="J279" s="3">
        <f t="shared" si="20"/>
        <v>-1</v>
      </c>
      <c r="K279" s="2">
        <f t="shared" si="21"/>
        <v>0</v>
      </c>
      <c r="L279" s="2">
        <f t="shared" si="23"/>
        <v>0</v>
      </c>
    </row>
    <row r="280" spans="1:12" x14ac:dyDescent="0.25">
      <c r="A280" s="1"/>
      <c r="G280" s="7"/>
      <c r="H280" s="2" t="e">
        <f t="shared" si="22"/>
        <v>#DIV/0!</v>
      </c>
      <c r="I280" s="2" t="e">
        <f t="shared" si="19"/>
        <v>#DIV/0!</v>
      </c>
      <c r="J280" s="3">
        <f t="shared" si="20"/>
        <v>-1</v>
      </c>
      <c r="K280" s="2">
        <f t="shared" si="21"/>
        <v>0</v>
      </c>
      <c r="L280" s="2">
        <f t="shared" si="23"/>
        <v>0</v>
      </c>
    </row>
    <row r="281" spans="1:12" x14ac:dyDescent="0.25">
      <c r="A281" s="1"/>
      <c r="G281" s="7"/>
      <c r="H281" s="2" t="e">
        <f t="shared" si="22"/>
        <v>#DIV/0!</v>
      </c>
      <c r="I281" s="2" t="e">
        <f t="shared" si="19"/>
        <v>#DIV/0!</v>
      </c>
      <c r="J281" s="3">
        <f t="shared" si="20"/>
        <v>-1</v>
      </c>
      <c r="K281" s="2">
        <f t="shared" si="21"/>
        <v>0</v>
      </c>
      <c r="L281" s="2">
        <f t="shared" si="23"/>
        <v>0</v>
      </c>
    </row>
    <row r="282" spans="1:12" x14ac:dyDescent="0.25">
      <c r="A282" s="1"/>
      <c r="G282" s="7"/>
      <c r="H282" s="2" t="e">
        <f t="shared" si="22"/>
        <v>#DIV/0!</v>
      </c>
      <c r="I282" s="2" t="e">
        <f t="shared" si="19"/>
        <v>#DIV/0!</v>
      </c>
      <c r="J282" s="3">
        <f t="shared" si="20"/>
        <v>-1</v>
      </c>
      <c r="K282" s="2">
        <f t="shared" si="21"/>
        <v>0</v>
      </c>
      <c r="L282" s="2">
        <f t="shared" si="23"/>
        <v>0</v>
      </c>
    </row>
    <row r="283" spans="1:12" x14ac:dyDescent="0.25">
      <c r="A283" s="1"/>
      <c r="G283" s="7"/>
      <c r="H283" s="2" t="e">
        <f t="shared" si="22"/>
        <v>#DIV/0!</v>
      </c>
      <c r="I283" s="2" t="e">
        <f t="shared" si="19"/>
        <v>#DIV/0!</v>
      </c>
      <c r="J283" s="3">
        <f t="shared" si="20"/>
        <v>-1</v>
      </c>
      <c r="K283" s="2">
        <f t="shared" si="21"/>
        <v>0</v>
      </c>
      <c r="L283" s="2">
        <f t="shared" si="23"/>
        <v>0</v>
      </c>
    </row>
    <row r="284" spans="1:12" x14ac:dyDescent="0.25">
      <c r="A284" s="1"/>
      <c r="G284" s="7"/>
      <c r="H284" s="2" t="e">
        <f t="shared" si="22"/>
        <v>#DIV/0!</v>
      </c>
      <c r="I284" s="2" t="e">
        <f t="shared" si="19"/>
        <v>#DIV/0!</v>
      </c>
      <c r="J284" s="3">
        <f t="shared" si="20"/>
        <v>-1</v>
      </c>
      <c r="K284" s="2">
        <f t="shared" si="21"/>
        <v>0</v>
      </c>
      <c r="L284" s="2">
        <f t="shared" si="23"/>
        <v>0</v>
      </c>
    </row>
    <row r="285" spans="1:12" x14ac:dyDescent="0.25">
      <c r="A285" s="1"/>
      <c r="G285" s="7"/>
      <c r="H285" s="2" t="e">
        <f t="shared" si="22"/>
        <v>#DIV/0!</v>
      </c>
      <c r="I285" s="2" t="e">
        <f t="shared" si="19"/>
        <v>#DIV/0!</v>
      </c>
      <c r="J285" s="3">
        <f t="shared" si="20"/>
        <v>-1</v>
      </c>
      <c r="K285" s="2">
        <f t="shared" si="21"/>
        <v>0</v>
      </c>
      <c r="L285" s="2">
        <f t="shared" si="23"/>
        <v>0</v>
      </c>
    </row>
    <row r="286" spans="1:12" x14ac:dyDescent="0.25">
      <c r="A286" s="1"/>
      <c r="G286" s="7"/>
      <c r="H286" s="2" t="e">
        <f t="shared" si="22"/>
        <v>#DIV/0!</v>
      </c>
      <c r="I286" s="2" t="e">
        <f t="shared" si="19"/>
        <v>#DIV/0!</v>
      </c>
      <c r="J286" s="3">
        <f t="shared" si="20"/>
        <v>-1</v>
      </c>
      <c r="K286" s="2">
        <f t="shared" si="21"/>
        <v>0</v>
      </c>
      <c r="L286" s="2">
        <f t="shared" si="23"/>
        <v>0</v>
      </c>
    </row>
    <row r="287" spans="1:12" x14ac:dyDescent="0.25">
      <c r="A287" s="1"/>
      <c r="G287" s="7"/>
      <c r="H287" s="2" t="e">
        <f t="shared" si="22"/>
        <v>#DIV/0!</v>
      </c>
      <c r="I287" s="2" t="e">
        <f t="shared" si="19"/>
        <v>#DIV/0!</v>
      </c>
      <c r="J287" s="3">
        <f t="shared" si="20"/>
        <v>-1</v>
      </c>
      <c r="K287" s="2">
        <f t="shared" si="21"/>
        <v>0</v>
      </c>
      <c r="L287" s="2">
        <f t="shared" si="23"/>
        <v>0</v>
      </c>
    </row>
    <row r="288" spans="1:12" x14ac:dyDescent="0.25">
      <c r="A288" s="1"/>
      <c r="G288" s="7"/>
      <c r="H288" s="2" t="e">
        <f t="shared" si="22"/>
        <v>#DIV/0!</v>
      </c>
      <c r="I288" s="2" t="e">
        <f t="shared" si="19"/>
        <v>#DIV/0!</v>
      </c>
      <c r="J288" s="3">
        <f t="shared" si="20"/>
        <v>-1</v>
      </c>
      <c r="K288" s="2">
        <f t="shared" si="21"/>
        <v>0</v>
      </c>
      <c r="L288" s="2">
        <f t="shared" si="23"/>
        <v>0</v>
      </c>
    </row>
    <row r="289" spans="1:12" x14ac:dyDescent="0.25">
      <c r="A289" s="1"/>
      <c r="G289" s="7"/>
      <c r="H289" s="2" t="e">
        <f t="shared" si="22"/>
        <v>#DIV/0!</v>
      </c>
      <c r="I289" s="2" t="e">
        <f t="shared" si="19"/>
        <v>#DIV/0!</v>
      </c>
      <c r="J289" s="3">
        <f t="shared" si="20"/>
        <v>-1</v>
      </c>
      <c r="K289" s="2">
        <f t="shared" si="21"/>
        <v>0</v>
      </c>
      <c r="L289" s="2">
        <f t="shared" si="23"/>
        <v>0</v>
      </c>
    </row>
    <row r="290" spans="1:12" x14ac:dyDescent="0.25">
      <c r="A290" s="1"/>
      <c r="G290" s="7"/>
      <c r="H290" s="2" t="e">
        <f t="shared" si="22"/>
        <v>#DIV/0!</v>
      </c>
      <c r="I290" s="2" t="e">
        <f t="shared" si="19"/>
        <v>#DIV/0!</v>
      </c>
      <c r="J290" s="3">
        <f t="shared" si="20"/>
        <v>-1</v>
      </c>
      <c r="K290" s="2">
        <f t="shared" si="21"/>
        <v>0</v>
      </c>
      <c r="L290" s="2">
        <f t="shared" si="23"/>
        <v>0</v>
      </c>
    </row>
    <row r="291" spans="1:12" x14ac:dyDescent="0.25">
      <c r="A291" s="1"/>
      <c r="G291" s="7"/>
      <c r="H291" s="2" t="e">
        <f t="shared" si="22"/>
        <v>#DIV/0!</v>
      </c>
      <c r="I291" s="2" t="e">
        <f t="shared" si="19"/>
        <v>#DIV/0!</v>
      </c>
      <c r="J291" s="3">
        <f t="shared" si="20"/>
        <v>-1</v>
      </c>
      <c r="K291" s="2">
        <f t="shared" si="21"/>
        <v>0</v>
      </c>
      <c r="L291" s="2">
        <f t="shared" si="23"/>
        <v>0</v>
      </c>
    </row>
    <row r="292" spans="1:12" x14ac:dyDescent="0.25">
      <c r="A292" s="1"/>
      <c r="G292" s="7"/>
      <c r="H292" s="2" t="e">
        <f t="shared" si="22"/>
        <v>#DIV/0!</v>
      </c>
      <c r="I292" s="2" t="e">
        <f t="shared" si="19"/>
        <v>#DIV/0!</v>
      </c>
      <c r="J292" s="3">
        <f t="shared" si="20"/>
        <v>-1</v>
      </c>
      <c r="K292" s="2">
        <f t="shared" si="21"/>
        <v>0</v>
      </c>
      <c r="L292" s="2">
        <f t="shared" si="23"/>
        <v>0</v>
      </c>
    </row>
    <row r="293" spans="1:12" x14ac:dyDescent="0.25">
      <c r="A293" s="1"/>
      <c r="G293" s="7"/>
      <c r="H293" s="2" t="e">
        <f t="shared" si="22"/>
        <v>#DIV/0!</v>
      </c>
      <c r="I293" s="2" t="e">
        <f t="shared" si="19"/>
        <v>#DIV/0!</v>
      </c>
      <c r="J293" s="3">
        <f t="shared" si="20"/>
        <v>-1</v>
      </c>
      <c r="K293" s="2">
        <f t="shared" si="21"/>
        <v>0</v>
      </c>
      <c r="L293" s="2">
        <f t="shared" si="23"/>
        <v>0</v>
      </c>
    </row>
    <row r="294" spans="1:12" x14ac:dyDescent="0.25">
      <c r="A294" s="1"/>
      <c r="G294" s="7"/>
      <c r="H294" s="2" t="e">
        <f t="shared" si="22"/>
        <v>#DIV/0!</v>
      </c>
      <c r="I294" s="2" t="e">
        <f t="shared" si="19"/>
        <v>#DIV/0!</v>
      </c>
      <c r="J294" s="3">
        <f t="shared" si="20"/>
        <v>-1</v>
      </c>
      <c r="K294" s="2">
        <f t="shared" si="21"/>
        <v>0</v>
      </c>
      <c r="L294" s="2">
        <f t="shared" si="23"/>
        <v>0</v>
      </c>
    </row>
    <row r="295" spans="1:12" x14ac:dyDescent="0.25">
      <c r="A295" s="1"/>
      <c r="G295" s="7"/>
      <c r="H295" s="2" t="e">
        <f t="shared" si="22"/>
        <v>#DIV/0!</v>
      </c>
      <c r="I295" s="2" t="e">
        <f t="shared" si="19"/>
        <v>#DIV/0!</v>
      </c>
      <c r="J295" s="3">
        <f t="shared" si="20"/>
        <v>-1</v>
      </c>
      <c r="K295" s="2">
        <f t="shared" si="21"/>
        <v>0</v>
      </c>
      <c r="L295" s="2">
        <f t="shared" si="23"/>
        <v>0</v>
      </c>
    </row>
    <row r="296" spans="1:12" x14ac:dyDescent="0.25">
      <c r="A296" s="1"/>
      <c r="G296" s="7"/>
      <c r="H296" s="2" t="e">
        <f t="shared" si="22"/>
        <v>#DIV/0!</v>
      </c>
      <c r="I296" s="2" t="e">
        <f t="shared" si="19"/>
        <v>#DIV/0!</v>
      </c>
      <c r="J296" s="3">
        <f t="shared" si="20"/>
        <v>-1</v>
      </c>
      <c r="K296" s="2">
        <f t="shared" si="21"/>
        <v>0</v>
      </c>
      <c r="L296" s="2">
        <f t="shared" si="23"/>
        <v>0</v>
      </c>
    </row>
    <row r="297" spans="1:12" x14ac:dyDescent="0.25">
      <c r="A297" s="1"/>
      <c r="G297" s="7"/>
      <c r="H297" s="2" t="e">
        <f t="shared" si="22"/>
        <v>#DIV/0!</v>
      </c>
      <c r="I297" s="2" t="e">
        <f t="shared" si="19"/>
        <v>#DIV/0!</v>
      </c>
      <c r="J297" s="3">
        <f t="shared" si="20"/>
        <v>-1</v>
      </c>
      <c r="K297" s="2">
        <f t="shared" si="21"/>
        <v>0</v>
      </c>
      <c r="L297" s="2">
        <f t="shared" si="23"/>
        <v>0</v>
      </c>
    </row>
    <row r="298" spans="1:12" x14ac:dyDescent="0.25">
      <c r="A298" s="1"/>
      <c r="G298" s="7"/>
      <c r="H298" s="2" t="e">
        <f t="shared" si="22"/>
        <v>#DIV/0!</v>
      </c>
      <c r="I298" s="2" t="e">
        <f t="shared" si="19"/>
        <v>#DIV/0!</v>
      </c>
      <c r="J298" s="3">
        <f t="shared" si="20"/>
        <v>-1</v>
      </c>
      <c r="K298" s="2">
        <f t="shared" si="21"/>
        <v>0</v>
      </c>
      <c r="L298" s="2">
        <f t="shared" si="23"/>
        <v>0</v>
      </c>
    </row>
    <row r="299" spans="1:12" x14ac:dyDescent="0.25">
      <c r="A299" s="1"/>
      <c r="G299" s="7"/>
      <c r="H299" s="2" t="e">
        <f t="shared" si="22"/>
        <v>#DIV/0!</v>
      </c>
      <c r="I299" s="2" t="e">
        <f t="shared" si="19"/>
        <v>#DIV/0!</v>
      </c>
      <c r="J299" s="3">
        <f t="shared" si="20"/>
        <v>-1</v>
      </c>
      <c r="K299" s="2">
        <f t="shared" si="21"/>
        <v>0</v>
      </c>
      <c r="L299" s="2">
        <f t="shared" si="23"/>
        <v>0</v>
      </c>
    </row>
    <row r="300" spans="1:12" x14ac:dyDescent="0.25">
      <c r="A300" s="1"/>
      <c r="G300" s="7"/>
      <c r="H300" s="2" t="e">
        <f t="shared" si="22"/>
        <v>#DIV/0!</v>
      </c>
      <c r="I300" s="2" t="e">
        <f t="shared" si="19"/>
        <v>#DIV/0!</v>
      </c>
      <c r="J300" s="3">
        <f t="shared" si="20"/>
        <v>-1</v>
      </c>
      <c r="K300" s="2">
        <f t="shared" si="21"/>
        <v>0</v>
      </c>
      <c r="L300" s="2">
        <f t="shared" si="23"/>
        <v>0</v>
      </c>
    </row>
    <row r="301" spans="1:12" x14ac:dyDescent="0.25">
      <c r="A301" s="1"/>
      <c r="G301" s="7"/>
      <c r="H301" s="2" t="e">
        <f t="shared" si="22"/>
        <v>#DIV/0!</v>
      </c>
      <c r="I301" s="2" t="e">
        <f t="shared" si="19"/>
        <v>#DIV/0!</v>
      </c>
      <c r="J301" s="3">
        <f t="shared" si="20"/>
        <v>-1</v>
      </c>
      <c r="K301" s="2">
        <f t="shared" si="21"/>
        <v>0</v>
      </c>
      <c r="L301" s="2">
        <f t="shared" si="23"/>
        <v>0</v>
      </c>
    </row>
    <row r="302" spans="1:12" x14ac:dyDescent="0.25">
      <c r="A302" s="1"/>
      <c r="G302" s="7"/>
      <c r="H302" s="2" t="e">
        <f t="shared" si="22"/>
        <v>#DIV/0!</v>
      </c>
      <c r="I302" s="2" t="e">
        <f t="shared" si="19"/>
        <v>#DIV/0!</v>
      </c>
      <c r="J302" s="3">
        <f t="shared" si="20"/>
        <v>-1</v>
      </c>
      <c r="K302" s="2">
        <f t="shared" si="21"/>
        <v>0</v>
      </c>
      <c r="L302" s="2">
        <f t="shared" si="23"/>
        <v>0</v>
      </c>
    </row>
    <row r="303" spans="1:12" x14ac:dyDescent="0.25">
      <c r="A303" s="1"/>
      <c r="G303" s="7"/>
      <c r="H303" s="2" t="e">
        <f t="shared" si="22"/>
        <v>#DIV/0!</v>
      </c>
      <c r="I303" s="2" t="e">
        <f t="shared" si="19"/>
        <v>#DIV/0!</v>
      </c>
      <c r="J303" s="3">
        <f t="shared" si="20"/>
        <v>-1</v>
      </c>
      <c r="K303" s="2">
        <f t="shared" si="21"/>
        <v>0</v>
      </c>
      <c r="L303" s="2">
        <f t="shared" si="23"/>
        <v>0</v>
      </c>
    </row>
    <row r="304" spans="1:12" x14ac:dyDescent="0.25">
      <c r="A304" s="1"/>
      <c r="G304" s="7"/>
      <c r="H304" s="2" t="e">
        <f t="shared" si="22"/>
        <v>#DIV/0!</v>
      </c>
      <c r="I304" s="2" t="e">
        <f t="shared" si="19"/>
        <v>#DIV/0!</v>
      </c>
      <c r="J304" s="3">
        <f t="shared" si="20"/>
        <v>-1</v>
      </c>
      <c r="K304" s="2">
        <f t="shared" si="21"/>
        <v>0</v>
      </c>
      <c r="L304" s="2">
        <f t="shared" si="23"/>
        <v>0</v>
      </c>
    </row>
    <row r="305" spans="1:12" x14ac:dyDescent="0.25">
      <c r="A305" s="1"/>
      <c r="G305" s="7"/>
      <c r="H305" s="2" t="e">
        <f t="shared" si="22"/>
        <v>#DIV/0!</v>
      </c>
      <c r="I305" s="2" t="e">
        <f t="shared" si="19"/>
        <v>#DIV/0!</v>
      </c>
      <c r="J305" s="3">
        <f t="shared" si="20"/>
        <v>-1</v>
      </c>
      <c r="K305" s="2">
        <f t="shared" si="21"/>
        <v>0</v>
      </c>
      <c r="L305" s="2">
        <f t="shared" si="23"/>
        <v>0</v>
      </c>
    </row>
    <row r="306" spans="1:12" x14ac:dyDescent="0.25">
      <c r="A306" s="1"/>
      <c r="G306" s="7"/>
      <c r="H306" s="2" t="e">
        <f t="shared" si="22"/>
        <v>#DIV/0!</v>
      </c>
      <c r="I306" s="2" t="e">
        <f t="shared" si="19"/>
        <v>#DIV/0!</v>
      </c>
      <c r="J306" s="3">
        <f t="shared" si="20"/>
        <v>-1</v>
      </c>
      <c r="K306" s="2">
        <f t="shared" si="21"/>
        <v>0</v>
      </c>
      <c r="L306" s="2">
        <f t="shared" si="23"/>
        <v>0</v>
      </c>
    </row>
    <row r="307" spans="1:12" x14ac:dyDescent="0.25">
      <c r="A307" s="1"/>
      <c r="G307" s="7"/>
      <c r="H307" s="2" t="e">
        <f t="shared" si="22"/>
        <v>#DIV/0!</v>
      </c>
      <c r="I307" s="2" t="e">
        <f t="shared" si="19"/>
        <v>#DIV/0!</v>
      </c>
      <c r="J307" s="3">
        <f t="shared" si="20"/>
        <v>-1</v>
      </c>
      <c r="K307" s="2">
        <f t="shared" si="21"/>
        <v>0</v>
      </c>
      <c r="L307" s="2">
        <f t="shared" si="23"/>
        <v>0</v>
      </c>
    </row>
    <row r="308" spans="1:12" x14ac:dyDescent="0.25">
      <c r="A308" s="1"/>
      <c r="G308" s="7"/>
      <c r="H308" s="2" t="e">
        <f t="shared" si="22"/>
        <v>#DIV/0!</v>
      </c>
      <c r="I308" s="2" t="e">
        <f t="shared" ref="I308:I371" si="24">AVERAGE(B259:B308)</f>
        <v>#DIV/0!</v>
      </c>
      <c r="J308" s="3">
        <f t="shared" si="20"/>
        <v>-1</v>
      </c>
      <c r="K308" s="2">
        <f t="shared" si="21"/>
        <v>0</v>
      </c>
      <c r="L308" s="2">
        <f t="shared" si="23"/>
        <v>0</v>
      </c>
    </row>
    <row r="309" spans="1:12" x14ac:dyDescent="0.25">
      <c r="A309" s="1"/>
      <c r="G309" s="7"/>
      <c r="H309" s="2" t="e">
        <f t="shared" si="22"/>
        <v>#DIV/0!</v>
      </c>
      <c r="I309" s="2" t="e">
        <f t="shared" si="24"/>
        <v>#DIV/0!</v>
      </c>
      <c r="J309" s="3">
        <f t="shared" si="20"/>
        <v>-1</v>
      </c>
      <c r="K309" s="2">
        <f t="shared" si="21"/>
        <v>0</v>
      </c>
      <c r="L309" s="2">
        <f t="shared" si="23"/>
        <v>0</v>
      </c>
    </row>
    <row r="310" spans="1:12" x14ac:dyDescent="0.25">
      <c r="A310" s="1"/>
      <c r="G310" s="7"/>
      <c r="H310" s="2" t="e">
        <f t="shared" si="22"/>
        <v>#DIV/0!</v>
      </c>
      <c r="I310" s="2" t="e">
        <f t="shared" si="24"/>
        <v>#DIV/0!</v>
      </c>
      <c r="J310" s="3">
        <f t="shared" si="20"/>
        <v>-1</v>
      </c>
      <c r="K310" s="2">
        <f t="shared" si="21"/>
        <v>0</v>
      </c>
      <c r="L310" s="2">
        <f t="shared" si="23"/>
        <v>0</v>
      </c>
    </row>
    <row r="311" spans="1:12" x14ac:dyDescent="0.25">
      <c r="A311" s="1"/>
      <c r="G311" s="7"/>
      <c r="H311" s="2" t="e">
        <f t="shared" si="22"/>
        <v>#DIV/0!</v>
      </c>
      <c r="I311" s="2" t="e">
        <f t="shared" si="24"/>
        <v>#DIV/0!</v>
      </c>
      <c r="J311" s="3">
        <f t="shared" si="20"/>
        <v>-1</v>
      </c>
      <c r="K311" s="2">
        <f t="shared" si="21"/>
        <v>0</v>
      </c>
      <c r="L311" s="2">
        <f t="shared" si="23"/>
        <v>0</v>
      </c>
    </row>
    <row r="312" spans="1:12" x14ac:dyDescent="0.25">
      <c r="A312" s="1"/>
      <c r="G312" s="7"/>
      <c r="H312" s="2" t="e">
        <f t="shared" si="22"/>
        <v>#DIV/0!</v>
      </c>
      <c r="I312" s="2" t="e">
        <f t="shared" si="24"/>
        <v>#DIV/0!</v>
      </c>
      <c r="J312" s="3">
        <f t="shared" si="20"/>
        <v>-1</v>
      </c>
      <c r="K312" s="2">
        <f t="shared" si="21"/>
        <v>0</v>
      </c>
      <c r="L312" s="2">
        <f t="shared" si="23"/>
        <v>0</v>
      </c>
    </row>
    <row r="313" spans="1:12" x14ac:dyDescent="0.25">
      <c r="A313" s="1"/>
      <c r="G313" s="7"/>
      <c r="H313" s="2" t="e">
        <f t="shared" si="22"/>
        <v>#DIV/0!</v>
      </c>
      <c r="I313" s="2" t="e">
        <f t="shared" si="24"/>
        <v>#DIV/0!</v>
      </c>
      <c r="J313" s="3">
        <f t="shared" si="20"/>
        <v>-1</v>
      </c>
      <c r="K313" s="2">
        <f t="shared" si="21"/>
        <v>0</v>
      </c>
      <c r="L313" s="2">
        <f t="shared" si="23"/>
        <v>0</v>
      </c>
    </row>
    <row r="314" spans="1:12" x14ac:dyDescent="0.25">
      <c r="A314" s="1"/>
      <c r="G314" s="7"/>
      <c r="H314" s="2" t="e">
        <f t="shared" si="22"/>
        <v>#DIV/0!</v>
      </c>
      <c r="I314" s="2" t="e">
        <f t="shared" si="24"/>
        <v>#DIV/0!</v>
      </c>
      <c r="J314" s="3">
        <f t="shared" si="20"/>
        <v>-1</v>
      </c>
      <c r="K314" s="2">
        <f t="shared" si="21"/>
        <v>0</v>
      </c>
      <c r="L314" s="2">
        <f t="shared" si="23"/>
        <v>0</v>
      </c>
    </row>
    <row r="315" spans="1:12" x14ac:dyDescent="0.25">
      <c r="A315" s="1"/>
      <c r="G315" s="7"/>
      <c r="H315" s="2" t="e">
        <f t="shared" si="22"/>
        <v>#DIV/0!</v>
      </c>
      <c r="I315" s="2" t="e">
        <f t="shared" si="24"/>
        <v>#DIV/0!</v>
      </c>
      <c r="J315" s="3">
        <f t="shared" si="20"/>
        <v>-1</v>
      </c>
      <c r="K315" s="2">
        <f t="shared" si="21"/>
        <v>0</v>
      </c>
      <c r="L315" s="2">
        <f t="shared" si="23"/>
        <v>0</v>
      </c>
    </row>
    <row r="316" spans="1:12" x14ac:dyDescent="0.25">
      <c r="A316" s="1"/>
      <c r="G316" s="7"/>
      <c r="H316" s="2" t="e">
        <f t="shared" si="22"/>
        <v>#DIV/0!</v>
      </c>
      <c r="I316" s="2" t="e">
        <f t="shared" si="24"/>
        <v>#DIV/0!</v>
      </c>
      <c r="J316" s="3">
        <f t="shared" si="20"/>
        <v>-1</v>
      </c>
      <c r="K316" s="2">
        <f t="shared" si="21"/>
        <v>0</v>
      </c>
      <c r="L316" s="2">
        <f t="shared" si="23"/>
        <v>0</v>
      </c>
    </row>
    <row r="317" spans="1:12" x14ac:dyDescent="0.25">
      <c r="A317" s="1"/>
      <c r="G317" s="7"/>
      <c r="H317" s="2" t="e">
        <f t="shared" si="22"/>
        <v>#DIV/0!</v>
      </c>
      <c r="I317" s="2" t="e">
        <f t="shared" si="24"/>
        <v>#DIV/0!</v>
      </c>
      <c r="J317" s="3">
        <f t="shared" si="20"/>
        <v>-1</v>
      </c>
      <c r="K317" s="2">
        <f t="shared" si="21"/>
        <v>0</v>
      </c>
      <c r="L317" s="2">
        <f t="shared" si="23"/>
        <v>0</v>
      </c>
    </row>
    <row r="318" spans="1:12" x14ac:dyDescent="0.25">
      <c r="A318" s="1"/>
      <c r="G318" s="7"/>
      <c r="H318" s="2" t="e">
        <f t="shared" si="22"/>
        <v>#DIV/0!</v>
      </c>
      <c r="I318" s="2" t="e">
        <f t="shared" si="24"/>
        <v>#DIV/0!</v>
      </c>
      <c r="J318" s="3">
        <f t="shared" si="20"/>
        <v>-1</v>
      </c>
      <c r="K318" s="2">
        <f t="shared" si="21"/>
        <v>0</v>
      </c>
      <c r="L318" s="2">
        <f t="shared" si="23"/>
        <v>0</v>
      </c>
    </row>
    <row r="319" spans="1:12" x14ac:dyDescent="0.25">
      <c r="A319" s="1"/>
      <c r="G319" s="7"/>
      <c r="H319" s="2" t="e">
        <f t="shared" si="22"/>
        <v>#DIV/0!</v>
      </c>
      <c r="I319" s="2" t="e">
        <f t="shared" si="24"/>
        <v>#DIV/0!</v>
      </c>
      <c r="J319" s="3">
        <f t="shared" si="20"/>
        <v>-1</v>
      </c>
      <c r="K319" s="2">
        <f t="shared" si="21"/>
        <v>0</v>
      </c>
      <c r="L319" s="2">
        <f t="shared" si="23"/>
        <v>0</v>
      </c>
    </row>
    <row r="320" spans="1:12" x14ac:dyDescent="0.25">
      <c r="A320" s="1"/>
      <c r="G320" s="7"/>
      <c r="H320" s="2" t="e">
        <f t="shared" si="22"/>
        <v>#DIV/0!</v>
      </c>
      <c r="I320" s="2" t="e">
        <f t="shared" si="24"/>
        <v>#DIV/0!</v>
      </c>
      <c r="J320" s="3">
        <f t="shared" si="20"/>
        <v>-1</v>
      </c>
      <c r="K320" s="2">
        <f t="shared" si="21"/>
        <v>0</v>
      </c>
      <c r="L320" s="2">
        <f t="shared" si="23"/>
        <v>0</v>
      </c>
    </row>
    <row r="321" spans="1:12" x14ac:dyDescent="0.25">
      <c r="A321" s="1"/>
      <c r="G321" s="7"/>
      <c r="H321" s="2" t="e">
        <f t="shared" si="22"/>
        <v>#DIV/0!</v>
      </c>
      <c r="I321" s="2" t="e">
        <f t="shared" si="24"/>
        <v>#DIV/0!</v>
      </c>
      <c r="J321" s="3">
        <f t="shared" si="20"/>
        <v>-1</v>
      </c>
      <c r="K321" s="2">
        <f t="shared" si="21"/>
        <v>0</v>
      </c>
      <c r="L321" s="2">
        <f t="shared" si="23"/>
        <v>0</v>
      </c>
    </row>
    <row r="322" spans="1:12" x14ac:dyDescent="0.25">
      <c r="A322" s="1"/>
      <c r="G322" s="7"/>
      <c r="H322" s="2" t="e">
        <f t="shared" si="22"/>
        <v>#DIV/0!</v>
      </c>
      <c r="I322" s="2" t="e">
        <f t="shared" si="24"/>
        <v>#DIV/0!</v>
      </c>
      <c r="J322" s="3">
        <f t="shared" si="20"/>
        <v>-1</v>
      </c>
      <c r="K322" s="2">
        <f t="shared" si="21"/>
        <v>0</v>
      </c>
      <c r="L322" s="2">
        <f t="shared" si="23"/>
        <v>0</v>
      </c>
    </row>
    <row r="323" spans="1:12" x14ac:dyDescent="0.25">
      <c r="A323" s="1"/>
      <c r="G323" s="7"/>
      <c r="H323" s="2" t="e">
        <f t="shared" si="22"/>
        <v>#DIV/0!</v>
      </c>
      <c r="I323" s="2" t="e">
        <f t="shared" si="24"/>
        <v>#DIV/0!</v>
      </c>
      <c r="J323" s="3">
        <f t="shared" ref="J323:J386" si="25">(B323/$B$2)-1</f>
        <v>-1</v>
      </c>
      <c r="K323" s="2">
        <f t="shared" ref="K323:K386" si="26">D323-E323</f>
        <v>0</v>
      </c>
      <c r="L323" s="2">
        <f t="shared" si="23"/>
        <v>0</v>
      </c>
    </row>
    <row r="324" spans="1:12" x14ac:dyDescent="0.25">
      <c r="A324" s="1"/>
      <c r="G324" s="7"/>
      <c r="H324" s="2" t="e">
        <f t="shared" si="22"/>
        <v>#DIV/0!</v>
      </c>
      <c r="I324" s="2" t="e">
        <f t="shared" si="24"/>
        <v>#DIV/0!</v>
      </c>
      <c r="J324" s="3">
        <f t="shared" si="25"/>
        <v>-1</v>
      </c>
      <c r="K324" s="2">
        <f t="shared" si="26"/>
        <v>0</v>
      </c>
      <c r="L324" s="2">
        <f t="shared" si="23"/>
        <v>0</v>
      </c>
    </row>
    <row r="325" spans="1:12" x14ac:dyDescent="0.25">
      <c r="A325" s="1"/>
      <c r="G325" s="7"/>
      <c r="H325" s="2" t="e">
        <f t="shared" si="22"/>
        <v>#DIV/0!</v>
      </c>
      <c r="I325" s="2" t="e">
        <f t="shared" si="24"/>
        <v>#DIV/0!</v>
      </c>
      <c r="J325" s="3">
        <f t="shared" si="25"/>
        <v>-1</v>
      </c>
      <c r="K325" s="2">
        <f t="shared" si="26"/>
        <v>0</v>
      </c>
      <c r="L325" s="2">
        <f t="shared" si="23"/>
        <v>0</v>
      </c>
    </row>
    <row r="326" spans="1:12" x14ac:dyDescent="0.25">
      <c r="A326" s="1"/>
      <c r="G326" s="7"/>
      <c r="H326" s="2" t="e">
        <f t="shared" si="22"/>
        <v>#DIV/0!</v>
      </c>
      <c r="I326" s="2" t="e">
        <f t="shared" si="24"/>
        <v>#DIV/0!</v>
      </c>
      <c r="J326" s="3">
        <f t="shared" si="25"/>
        <v>-1</v>
      </c>
      <c r="K326" s="2">
        <f t="shared" si="26"/>
        <v>0</v>
      </c>
      <c r="L326" s="2">
        <f t="shared" si="23"/>
        <v>0</v>
      </c>
    </row>
    <row r="327" spans="1:12" x14ac:dyDescent="0.25">
      <c r="A327" s="1"/>
      <c r="G327" s="7"/>
      <c r="H327" s="2" t="e">
        <f t="shared" si="22"/>
        <v>#DIV/0!</v>
      </c>
      <c r="I327" s="2" t="e">
        <f t="shared" si="24"/>
        <v>#DIV/0!</v>
      </c>
      <c r="J327" s="3">
        <f t="shared" si="25"/>
        <v>-1</v>
      </c>
      <c r="K327" s="2">
        <f t="shared" si="26"/>
        <v>0</v>
      </c>
      <c r="L327" s="2">
        <f t="shared" si="23"/>
        <v>0</v>
      </c>
    </row>
    <row r="328" spans="1:12" x14ac:dyDescent="0.25">
      <c r="A328" s="1"/>
      <c r="G328" s="7"/>
      <c r="H328" s="2" t="e">
        <f t="shared" si="22"/>
        <v>#DIV/0!</v>
      </c>
      <c r="I328" s="2" t="e">
        <f t="shared" si="24"/>
        <v>#DIV/0!</v>
      </c>
      <c r="J328" s="3">
        <f t="shared" si="25"/>
        <v>-1</v>
      </c>
      <c r="K328" s="2">
        <f t="shared" si="26"/>
        <v>0</v>
      </c>
      <c r="L328" s="2">
        <f t="shared" si="23"/>
        <v>0</v>
      </c>
    </row>
    <row r="329" spans="1:12" x14ac:dyDescent="0.25">
      <c r="A329" s="1"/>
      <c r="G329" s="7"/>
      <c r="H329" s="2" t="e">
        <f t="shared" si="22"/>
        <v>#DIV/0!</v>
      </c>
      <c r="I329" s="2" t="e">
        <f t="shared" si="24"/>
        <v>#DIV/0!</v>
      </c>
      <c r="J329" s="3">
        <f t="shared" si="25"/>
        <v>-1</v>
      </c>
      <c r="K329" s="2">
        <f t="shared" si="26"/>
        <v>0</v>
      </c>
      <c r="L329" s="2">
        <f t="shared" si="23"/>
        <v>0</v>
      </c>
    </row>
    <row r="330" spans="1:12" x14ac:dyDescent="0.25">
      <c r="A330" s="1"/>
      <c r="G330" s="7"/>
      <c r="H330" s="2" t="e">
        <f t="shared" si="22"/>
        <v>#DIV/0!</v>
      </c>
      <c r="I330" s="2" t="e">
        <f t="shared" si="24"/>
        <v>#DIV/0!</v>
      </c>
      <c r="J330" s="3">
        <f t="shared" si="25"/>
        <v>-1</v>
      </c>
      <c r="K330" s="2">
        <f t="shared" si="26"/>
        <v>0</v>
      </c>
      <c r="L330" s="2">
        <f t="shared" si="23"/>
        <v>0</v>
      </c>
    </row>
    <row r="331" spans="1:12" x14ac:dyDescent="0.25">
      <c r="A331" s="1"/>
      <c r="G331" s="7"/>
      <c r="H331" s="2" t="e">
        <f t="shared" si="22"/>
        <v>#DIV/0!</v>
      </c>
      <c r="I331" s="2" t="e">
        <f t="shared" si="24"/>
        <v>#DIV/0!</v>
      </c>
      <c r="J331" s="3">
        <f t="shared" si="25"/>
        <v>-1</v>
      </c>
      <c r="K331" s="2">
        <f t="shared" si="26"/>
        <v>0</v>
      </c>
      <c r="L331" s="2">
        <f t="shared" si="23"/>
        <v>0</v>
      </c>
    </row>
    <row r="332" spans="1:12" x14ac:dyDescent="0.25">
      <c r="A332" s="1"/>
      <c r="G332" s="7"/>
      <c r="H332" s="2" t="e">
        <f t="shared" si="22"/>
        <v>#DIV/0!</v>
      </c>
      <c r="I332" s="2" t="e">
        <f t="shared" si="24"/>
        <v>#DIV/0!</v>
      </c>
      <c r="J332" s="3">
        <f t="shared" si="25"/>
        <v>-1</v>
      </c>
      <c r="K332" s="2">
        <f t="shared" si="26"/>
        <v>0</v>
      </c>
      <c r="L332" s="2">
        <f t="shared" si="23"/>
        <v>0</v>
      </c>
    </row>
    <row r="333" spans="1:12" x14ac:dyDescent="0.25">
      <c r="A333" s="1"/>
      <c r="G333" s="7"/>
      <c r="H333" s="2" t="e">
        <f t="shared" si="22"/>
        <v>#DIV/0!</v>
      </c>
      <c r="I333" s="2" t="e">
        <f t="shared" si="24"/>
        <v>#DIV/0!</v>
      </c>
      <c r="J333" s="3">
        <f t="shared" si="25"/>
        <v>-1</v>
      </c>
      <c r="K333" s="2">
        <f t="shared" si="26"/>
        <v>0</v>
      </c>
      <c r="L333" s="2">
        <f t="shared" si="23"/>
        <v>0</v>
      </c>
    </row>
    <row r="334" spans="1:12" x14ac:dyDescent="0.25">
      <c r="A334" s="1"/>
      <c r="G334" s="7"/>
      <c r="H334" s="2" t="e">
        <f t="shared" si="22"/>
        <v>#DIV/0!</v>
      </c>
      <c r="I334" s="2" t="e">
        <f t="shared" si="24"/>
        <v>#DIV/0!</v>
      </c>
      <c r="J334" s="3">
        <f t="shared" si="25"/>
        <v>-1</v>
      </c>
      <c r="K334" s="2">
        <f t="shared" si="26"/>
        <v>0</v>
      </c>
      <c r="L334" s="2">
        <f t="shared" si="23"/>
        <v>0</v>
      </c>
    </row>
    <row r="335" spans="1:12" x14ac:dyDescent="0.25">
      <c r="A335" s="1"/>
      <c r="G335" s="7"/>
      <c r="H335" s="2" t="e">
        <f t="shared" si="22"/>
        <v>#DIV/0!</v>
      </c>
      <c r="I335" s="2" t="e">
        <f t="shared" si="24"/>
        <v>#DIV/0!</v>
      </c>
      <c r="J335" s="3">
        <f t="shared" si="25"/>
        <v>-1</v>
      </c>
      <c r="K335" s="2">
        <f t="shared" si="26"/>
        <v>0</v>
      </c>
      <c r="L335" s="2">
        <f t="shared" si="23"/>
        <v>0</v>
      </c>
    </row>
    <row r="336" spans="1:12" x14ac:dyDescent="0.25">
      <c r="A336" s="1"/>
      <c r="G336" s="7"/>
      <c r="H336" s="2" t="e">
        <f t="shared" si="22"/>
        <v>#DIV/0!</v>
      </c>
      <c r="I336" s="2" t="e">
        <f t="shared" si="24"/>
        <v>#DIV/0!</v>
      </c>
      <c r="J336" s="3">
        <f t="shared" si="25"/>
        <v>-1</v>
      </c>
      <c r="K336" s="2">
        <f t="shared" si="26"/>
        <v>0</v>
      </c>
      <c r="L336" s="2">
        <f t="shared" si="23"/>
        <v>0</v>
      </c>
    </row>
    <row r="337" spans="1:12" x14ac:dyDescent="0.25">
      <c r="A337" s="1"/>
      <c r="G337" s="7"/>
      <c r="H337" s="2" t="e">
        <f t="shared" si="22"/>
        <v>#DIV/0!</v>
      </c>
      <c r="I337" s="2" t="e">
        <f t="shared" si="24"/>
        <v>#DIV/0!</v>
      </c>
      <c r="J337" s="3">
        <f t="shared" si="25"/>
        <v>-1</v>
      </c>
      <c r="K337" s="2">
        <f t="shared" si="26"/>
        <v>0</v>
      </c>
      <c r="L337" s="2">
        <f t="shared" si="23"/>
        <v>0</v>
      </c>
    </row>
    <row r="338" spans="1:12" x14ac:dyDescent="0.25">
      <c r="A338" s="1"/>
      <c r="G338" s="7"/>
      <c r="H338" s="2" t="e">
        <f t="shared" si="22"/>
        <v>#DIV/0!</v>
      </c>
      <c r="I338" s="2" t="e">
        <f t="shared" si="24"/>
        <v>#DIV/0!</v>
      </c>
      <c r="J338" s="3">
        <f t="shared" si="25"/>
        <v>-1</v>
      </c>
      <c r="K338" s="2">
        <f t="shared" si="26"/>
        <v>0</v>
      </c>
      <c r="L338" s="2">
        <f t="shared" si="23"/>
        <v>0</v>
      </c>
    </row>
    <row r="339" spans="1:12" x14ac:dyDescent="0.25">
      <c r="A339" s="1"/>
      <c r="G339" s="7"/>
      <c r="H339" s="2" t="e">
        <f t="shared" si="22"/>
        <v>#DIV/0!</v>
      </c>
      <c r="I339" s="2" t="e">
        <f t="shared" si="24"/>
        <v>#DIV/0!</v>
      </c>
      <c r="J339" s="3">
        <f t="shared" si="25"/>
        <v>-1</v>
      </c>
      <c r="K339" s="2">
        <f t="shared" si="26"/>
        <v>0</v>
      </c>
      <c r="L339" s="2">
        <f t="shared" si="23"/>
        <v>0</v>
      </c>
    </row>
    <row r="340" spans="1:12" x14ac:dyDescent="0.25">
      <c r="A340" s="1"/>
      <c r="G340" s="7"/>
      <c r="H340" s="2" t="e">
        <f t="shared" si="22"/>
        <v>#DIV/0!</v>
      </c>
      <c r="I340" s="2" t="e">
        <f t="shared" si="24"/>
        <v>#DIV/0!</v>
      </c>
      <c r="J340" s="3">
        <f t="shared" si="25"/>
        <v>-1</v>
      </c>
      <c r="K340" s="2">
        <f t="shared" si="26"/>
        <v>0</v>
      </c>
      <c r="L340" s="2">
        <f t="shared" si="23"/>
        <v>0</v>
      </c>
    </row>
    <row r="341" spans="1:12" x14ac:dyDescent="0.25">
      <c r="A341" s="1"/>
      <c r="G341" s="7"/>
      <c r="H341" s="2" t="e">
        <f t="shared" si="22"/>
        <v>#DIV/0!</v>
      </c>
      <c r="I341" s="2" t="e">
        <f t="shared" si="24"/>
        <v>#DIV/0!</v>
      </c>
      <c r="J341" s="3">
        <f t="shared" si="25"/>
        <v>-1</v>
      </c>
      <c r="K341" s="2">
        <f t="shared" si="26"/>
        <v>0</v>
      </c>
      <c r="L341" s="2">
        <f t="shared" si="23"/>
        <v>0</v>
      </c>
    </row>
    <row r="342" spans="1:12" x14ac:dyDescent="0.25">
      <c r="A342" s="1"/>
      <c r="G342" s="7"/>
      <c r="H342" s="2" t="e">
        <f t="shared" ref="H342:H405" si="27">AVERAGE(B323:B342)</f>
        <v>#DIV/0!</v>
      </c>
      <c r="I342" s="2" t="e">
        <f t="shared" si="24"/>
        <v>#DIV/0!</v>
      </c>
      <c r="J342" s="3">
        <f t="shared" si="25"/>
        <v>-1</v>
      </c>
      <c r="K342" s="2">
        <f t="shared" si="26"/>
        <v>0</v>
      </c>
      <c r="L342" s="2">
        <f t="shared" ref="L342:L405" si="28">AVERAGE(K323:K342)</f>
        <v>0</v>
      </c>
    </row>
    <row r="343" spans="1:12" x14ac:dyDescent="0.25">
      <c r="A343" s="1"/>
      <c r="G343" s="7"/>
      <c r="H343" s="2" t="e">
        <f t="shared" si="27"/>
        <v>#DIV/0!</v>
      </c>
      <c r="I343" s="2" t="e">
        <f t="shared" si="24"/>
        <v>#DIV/0!</v>
      </c>
      <c r="J343" s="3">
        <f t="shared" si="25"/>
        <v>-1</v>
      </c>
      <c r="K343" s="2">
        <f t="shared" si="26"/>
        <v>0</v>
      </c>
      <c r="L343" s="2">
        <f t="shared" si="28"/>
        <v>0</v>
      </c>
    </row>
    <row r="344" spans="1:12" x14ac:dyDescent="0.25">
      <c r="A344" s="1"/>
      <c r="G344" s="7"/>
      <c r="H344" s="2" t="e">
        <f t="shared" si="27"/>
        <v>#DIV/0!</v>
      </c>
      <c r="I344" s="2" t="e">
        <f t="shared" si="24"/>
        <v>#DIV/0!</v>
      </c>
      <c r="J344" s="3">
        <f t="shared" si="25"/>
        <v>-1</v>
      </c>
      <c r="K344" s="2">
        <f t="shared" si="26"/>
        <v>0</v>
      </c>
      <c r="L344" s="2">
        <f t="shared" si="28"/>
        <v>0</v>
      </c>
    </row>
    <row r="345" spans="1:12" x14ac:dyDescent="0.25">
      <c r="A345" s="1"/>
      <c r="G345" s="7"/>
      <c r="H345" s="2" t="e">
        <f t="shared" si="27"/>
        <v>#DIV/0!</v>
      </c>
      <c r="I345" s="2" t="e">
        <f t="shared" si="24"/>
        <v>#DIV/0!</v>
      </c>
      <c r="J345" s="3">
        <f t="shared" si="25"/>
        <v>-1</v>
      </c>
      <c r="K345" s="2">
        <f t="shared" si="26"/>
        <v>0</v>
      </c>
      <c r="L345" s="2">
        <f t="shared" si="28"/>
        <v>0</v>
      </c>
    </row>
    <row r="346" spans="1:12" x14ac:dyDescent="0.25">
      <c r="A346" s="1"/>
      <c r="G346" s="7"/>
      <c r="H346" s="2" t="e">
        <f t="shared" si="27"/>
        <v>#DIV/0!</v>
      </c>
      <c r="I346" s="2" t="e">
        <f t="shared" si="24"/>
        <v>#DIV/0!</v>
      </c>
      <c r="J346" s="3">
        <f t="shared" si="25"/>
        <v>-1</v>
      </c>
      <c r="K346" s="2">
        <f t="shared" si="26"/>
        <v>0</v>
      </c>
      <c r="L346" s="2">
        <f t="shared" si="28"/>
        <v>0</v>
      </c>
    </row>
    <row r="347" spans="1:12" x14ac:dyDescent="0.25">
      <c r="A347" s="1"/>
      <c r="G347" s="7"/>
      <c r="H347" s="2" t="e">
        <f t="shared" si="27"/>
        <v>#DIV/0!</v>
      </c>
      <c r="I347" s="2" t="e">
        <f t="shared" si="24"/>
        <v>#DIV/0!</v>
      </c>
      <c r="J347" s="3">
        <f t="shared" si="25"/>
        <v>-1</v>
      </c>
      <c r="K347" s="2">
        <f t="shared" si="26"/>
        <v>0</v>
      </c>
      <c r="L347" s="2">
        <f t="shared" si="28"/>
        <v>0</v>
      </c>
    </row>
    <row r="348" spans="1:12" x14ac:dyDescent="0.25">
      <c r="A348" s="1"/>
      <c r="G348" s="7"/>
      <c r="H348" s="2" t="e">
        <f t="shared" si="27"/>
        <v>#DIV/0!</v>
      </c>
      <c r="I348" s="2" t="e">
        <f t="shared" si="24"/>
        <v>#DIV/0!</v>
      </c>
      <c r="J348" s="3">
        <f t="shared" si="25"/>
        <v>-1</v>
      </c>
      <c r="K348" s="2">
        <f t="shared" si="26"/>
        <v>0</v>
      </c>
      <c r="L348" s="2">
        <f t="shared" si="28"/>
        <v>0</v>
      </c>
    </row>
    <row r="349" spans="1:12" x14ac:dyDescent="0.25">
      <c r="A349" s="1"/>
      <c r="G349" s="7"/>
      <c r="H349" s="2" t="e">
        <f t="shared" si="27"/>
        <v>#DIV/0!</v>
      </c>
      <c r="I349" s="2" t="e">
        <f t="shared" si="24"/>
        <v>#DIV/0!</v>
      </c>
      <c r="J349" s="3">
        <f t="shared" si="25"/>
        <v>-1</v>
      </c>
      <c r="K349" s="2">
        <f t="shared" si="26"/>
        <v>0</v>
      </c>
      <c r="L349" s="2">
        <f t="shared" si="28"/>
        <v>0</v>
      </c>
    </row>
    <row r="350" spans="1:12" x14ac:dyDescent="0.25">
      <c r="A350" s="1"/>
      <c r="G350" s="7"/>
      <c r="H350" s="2" t="e">
        <f t="shared" si="27"/>
        <v>#DIV/0!</v>
      </c>
      <c r="I350" s="2" t="e">
        <f t="shared" si="24"/>
        <v>#DIV/0!</v>
      </c>
      <c r="J350" s="3">
        <f t="shared" si="25"/>
        <v>-1</v>
      </c>
      <c r="K350" s="2">
        <f t="shared" si="26"/>
        <v>0</v>
      </c>
      <c r="L350" s="2">
        <f t="shared" si="28"/>
        <v>0</v>
      </c>
    </row>
    <row r="351" spans="1:12" x14ac:dyDescent="0.25">
      <c r="A351" s="1"/>
      <c r="G351" s="7"/>
      <c r="H351" s="2" t="e">
        <f t="shared" si="27"/>
        <v>#DIV/0!</v>
      </c>
      <c r="I351" s="2" t="e">
        <f t="shared" si="24"/>
        <v>#DIV/0!</v>
      </c>
      <c r="J351" s="3">
        <f t="shared" si="25"/>
        <v>-1</v>
      </c>
      <c r="K351" s="2">
        <f t="shared" si="26"/>
        <v>0</v>
      </c>
      <c r="L351" s="2">
        <f t="shared" si="28"/>
        <v>0</v>
      </c>
    </row>
    <row r="352" spans="1:12" x14ac:dyDescent="0.25">
      <c r="A352" s="1"/>
      <c r="G352" s="7"/>
      <c r="H352" s="2" t="e">
        <f t="shared" si="27"/>
        <v>#DIV/0!</v>
      </c>
      <c r="I352" s="2" t="e">
        <f t="shared" si="24"/>
        <v>#DIV/0!</v>
      </c>
      <c r="J352" s="3">
        <f t="shared" si="25"/>
        <v>-1</v>
      </c>
      <c r="K352" s="2">
        <f t="shared" si="26"/>
        <v>0</v>
      </c>
      <c r="L352" s="2">
        <f t="shared" si="28"/>
        <v>0</v>
      </c>
    </row>
    <row r="353" spans="1:12" x14ac:dyDescent="0.25">
      <c r="A353" s="1"/>
      <c r="G353" s="7"/>
      <c r="H353" s="2" t="e">
        <f t="shared" si="27"/>
        <v>#DIV/0!</v>
      </c>
      <c r="I353" s="2" t="e">
        <f t="shared" si="24"/>
        <v>#DIV/0!</v>
      </c>
      <c r="J353" s="3">
        <f t="shared" si="25"/>
        <v>-1</v>
      </c>
      <c r="K353" s="2">
        <f t="shared" si="26"/>
        <v>0</v>
      </c>
      <c r="L353" s="2">
        <f t="shared" si="28"/>
        <v>0</v>
      </c>
    </row>
    <row r="354" spans="1:12" x14ac:dyDescent="0.25">
      <c r="A354" s="1"/>
      <c r="G354" s="7"/>
      <c r="H354" s="2" t="e">
        <f t="shared" si="27"/>
        <v>#DIV/0!</v>
      </c>
      <c r="I354" s="2" t="e">
        <f t="shared" si="24"/>
        <v>#DIV/0!</v>
      </c>
      <c r="J354" s="3">
        <f t="shared" si="25"/>
        <v>-1</v>
      </c>
      <c r="K354" s="2">
        <f t="shared" si="26"/>
        <v>0</v>
      </c>
      <c r="L354" s="2">
        <f t="shared" si="28"/>
        <v>0</v>
      </c>
    </row>
    <row r="355" spans="1:12" x14ac:dyDescent="0.25">
      <c r="A355" s="1"/>
      <c r="G355" s="7"/>
      <c r="H355" s="2" t="e">
        <f t="shared" si="27"/>
        <v>#DIV/0!</v>
      </c>
      <c r="I355" s="2" t="e">
        <f t="shared" si="24"/>
        <v>#DIV/0!</v>
      </c>
      <c r="J355" s="3">
        <f t="shared" si="25"/>
        <v>-1</v>
      </c>
      <c r="K355" s="2">
        <f t="shared" si="26"/>
        <v>0</v>
      </c>
      <c r="L355" s="2">
        <f t="shared" si="28"/>
        <v>0</v>
      </c>
    </row>
    <row r="356" spans="1:12" x14ac:dyDescent="0.25">
      <c r="A356" s="1"/>
      <c r="G356" s="7"/>
      <c r="H356" s="2" t="e">
        <f t="shared" si="27"/>
        <v>#DIV/0!</v>
      </c>
      <c r="I356" s="2" t="e">
        <f t="shared" si="24"/>
        <v>#DIV/0!</v>
      </c>
      <c r="J356" s="3">
        <f t="shared" si="25"/>
        <v>-1</v>
      </c>
      <c r="K356" s="2">
        <f t="shared" si="26"/>
        <v>0</v>
      </c>
      <c r="L356" s="2">
        <f t="shared" si="28"/>
        <v>0</v>
      </c>
    </row>
    <row r="357" spans="1:12" x14ac:dyDescent="0.25">
      <c r="A357" s="1"/>
      <c r="G357" s="7"/>
      <c r="H357" s="2" t="e">
        <f t="shared" si="27"/>
        <v>#DIV/0!</v>
      </c>
      <c r="I357" s="2" t="e">
        <f t="shared" si="24"/>
        <v>#DIV/0!</v>
      </c>
      <c r="J357" s="3">
        <f t="shared" si="25"/>
        <v>-1</v>
      </c>
      <c r="K357" s="2">
        <f t="shared" si="26"/>
        <v>0</v>
      </c>
      <c r="L357" s="2">
        <f t="shared" si="28"/>
        <v>0</v>
      </c>
    </row>
    <row r="358" spans="1:12" x14ac:dyDescent="0.25">
      <c r="A358" s="1"/>
      <c r="G358" s="7"/>
      <c r="H358" s="2" t="e">
        <f t="shared" si="27"/>
        <v>#DIV/0!</v>
      </c>
      <c r="I358" s="2" t="e">
        <f t="shared" si="24"/>
        <v>#DIV/0!</v>
      </c>
      <c r="J358" s="3">
        <f t="shared" si="25"/>
        <v>-1</v>
      </c>
      <c r="K358" s="2">
        <f t="shared" si="26"/>
        <v>0</v>
      </c>
      <c r="L358" s="2">
        <f t="shared" si="28"/>
        <v>0</v>
      </c>
    </row>
    <row r="359" spans="1:12" x14ac:dyDescent="0.25">
      <c r="A359" s="1"/>
      <c r="G359" s="7"/>
      <c r="H359" s="2" t="e">
        <f t="shared" si="27"/>
        <v>#DIV/0!</v>
      </c>
      <c r="I359" s="2" t="e">
        <f t="shared" si="24"/>
        <v>#DIV/0!</v>
      </c>
      <c r="J359" s="3">
        <f t="shared" si="25"/>
        <v>-1</v>
      </c>
      <c r="K359" s="2">
        <f t="shared" si="26"/>
        <v>0</v>
      </c>
      <c r="L359" s="2">
        <f t="shared" si="28"/>
        <v>0</v>
      </c>
    </row>
    <row r="360" spans="1:12" x14ac:dyDescent="0.25">
      <c r="A360" s="1"/>
      <c r="G360" s="7"/>
      <c r="H360" s="2" t="e">
        <f t="shared" si="27"/>
        <v>#DIV/0!</v>
      </c>
      <c r="I360" s="2" t="e">
        <f t="shared" si="24"/>
        <v>#DIV/0!</v>
      </c>
      <c r="J360" s="3">
        <f t="shared" si="25"/>
        <v>-1</v>
      </c>
      <c r="K360" s="2">
        <f t="shared" si="26"/>
        <v>0</v>
      </c>
      <c r="L360" s="2">
        <f t="shared" si="28"/>
        <v>0</v>
      </c>
    </row>
    <row r="361" spans="1:12" x14ac:dyDescent="0.25">
      <c r="A361" s="1"/>
      <c r="G361" s="7"/>
      <c r="H361" s="2" t="e">
        <f t="shared" si="27"/>
        <v>#DIV/0!</v>
      </c>
      <c r="I361" s="2" t="e">
        <f t="shared" si="24"/>
        <v>#DIV/0!</v>
      </c>
      <c r="J361" s="3">
        <f t="shared" si="25"/>
        <v>-1</v>
      </c>
      <c r="K361" s="2">
        <f t="shared" si="26"/>
        <v>0</v>
      </c>
      <c r="L361" s="2">
        <f t="shared" si="28"/>
        <v>0</v>
      </c>
    </row>
    <row r="362" spans="1:12" x14ac:dyDescent="0.25">
      <c r="A362" s="1"/>
      <c r="G362" s="7"/>
      <c r="H362" s="2" t="e">
        <f t="shared" si="27"/>
        <v>#DIV/0!</v>
      </c>
      <c r="I362" s="2" t="e">
        <f t="shared" si="24"/>
        <v>#DIV/0!</v>
      </c>
      <c r="J362" s="3">
        <f t="shared" si="25"/>
        <v>-1</v>
      </c>
      <c r="K362" s="2">
        <f t="shared" si="26"/>
        <v>0</v>
      </c>
      <c r="L362" s="2">
        <f t="shared" si="28"/>
        <v>0</v>
      </c>
    </row>
    <row r="363" spans="1:12" x14ac:dyDescent="0.25">
      <c r="A363" s="1"/>
      <c r="G363" s="7"/>
      <c r="H363" s="2" t="e">
        <f t="shared" si="27"/>
        <v>#DIV/0!</v>
      </c>
      <c r="I363" s="2" t="e">
        <f t="shared" si="24"/>
        <v>#DIV/0!</v>
      </c>
      <c r="J363" s="3">
        <f t="shared" si="25"/>
        <v>-1</v>
      </c>
      <c r="K363" s="2">
        <f t="shared" si="26"/>
        <v>0</v>
      </c>
      <c r="L363" s="2">
        <f t="shared" si="28"/>
        <v>0</v>
      </c>
    </row>
    <row r="364" spans="1:12" x14ac:dyDescent="0.25">
      <c r="A364" s="1"/>
      <c r="G364" s="7"/>
      <c r="H364" s="2" t="e">
        <f t="shared" si="27"/>
        <v>#DIV/0!</v>
      </c>
      <c r="I364" s="2" t="e">
        <f t="shared" si="24"/>
        <v>#DIV/0!</v>
      </c>
      <c r="J364" s="3">
        <f t="shared" si="25"/>
        <v>-1</v>
      </c>
      <c r="K364" s="2">
        <f t="shared" si="26"/>
        <v>0</v>
      </c>
      <c r="L364" s="2">
        <f t="shared" si="28"/>
        <v>0</v>
      </c>
    </row>
    <row r="365" spans="1:12" x14ac:dyDescent="0.25">
      <c r="A365" s="1"/>
      <c r="G365" s="7"/>
      <c r="H365" s="2" t="e">
        <f t="shared" si="27"/>
        <v>#DIV/0!</v>
      </c>
      <c r="I365" s="2" t="e">
        <f t="shared" si="24"/>
        <v>#DIV/0!</v>
      </c>
      <c r="J365" s="3">
        <f t="shared" si="25"/>
        <v>-1</v>
      </c>
      <c r="K365" s="2">
        <f t="shared" si="26"/>
        <v>0</v>
      </c>
      <c r="L365" s="2">
        <f t="shared" si="28"/>
        <v>0</v>
      </c>
    </row>
    <row r="366" spans="1:12" x14ac:dyDescent="0.25">
      <c r="A366" s="1"/>
      <c r="G366" s="7"/>
      <c r="H366" s="2" t="e">
        <f t="shared" si="27"/>
        <v>#DIV/0!</v>
      </c>
      <c r="I366" s="2" t="e">
        <f t="shared" si="24"/>
        <v>#DIV/0!</v>
      </c>
      <c r="J366" s="3">
        <f t="shared" si="25"/>
        <v>-1</v>
      </c>
      <c r="K366" s="2">
        <f t="shared" si="26"/>
        <v>0</v>
      </c>
      <c r="L366" s="2">
        <f t="shared" si="28"/>
        <v>0</v>
      </c>
    </row>
    <row r="367" spans="1:12" x14ac:dyDescent="0.25">
      <c r="A367" s="1"/>
      <c r="G367" s="7"/>
      <c r="H367" s="2" t="e">
        <f t="shared" si="27"/>
        <v>#DIV/0!</v>
      </c>
      <c r="I367" s="2" t="e">
        <f t="shared" si="24"/>
        <v>#DIV/0!</v>
      </c>
      <c r="J367" s="3">
        <f t="shared" si="25"/>
        <v>-1</v>
      </c>
      <c r="K367" s="2">
        <f t="shared" si="26"/>
        <v>0</v>
      </c>
      <c r="L367" s="2">
        <f t="shared" si="28"/>
        <v>0</v>
      </c>
    </row>
    <row r="368" spans="1:12" x14ac:dyDescent="0.25">
      <c r="A368" s="1"/>
      <c r="G368" s="7"/>
      <c r="H368" s="2" t="e">
        <f t="shared" si="27"/>
        <v>#DIV/0!</v>
      </c>
      <c r="I368" s="2" t="e">
        <f t="shared" si="24"/>
        <v>#DIV/0!</v>
      </c>
      <c r="J368" s="3">
        <f t="shared" si="25"/>
        <v>-1</v>
      </c>
      <c r="K368" s="2">
        <f t="shared" si="26"/>
        <v>0</v>
      </c>
      <c r="L368" s="2">
        <f t="shared" si="28"/>
        <v>0</v>
      </c>
    </row>
    <row r="369" spans="1:12" x14ac:dyDescent="0.25">
      <c r="A369" s="1"/>
      <c r="G369" s="7"/>
      <c r="H369" s="2" t="e">
        <f t="shared" si="27"/>
        <v>#DIV/0!</v>
      </c>
      <c r="I369" s="2" t="e">
        <f t="shared" si="24"/>
        <v>#DIV/0!</v>
      </c>
      <c r="J369" s="3">
        <f t="shared" si="25"/>
        <v>-1</v>
      </c>
      <c r="K369" s="2">
        <f t="shared" si="26"/>
        <v>0</v>
      </c>
      <c r="L369" s="2">
        <f t="shared" si="28"/>
        <v>0</v>
      </c>
    </row>
    <row r="370" spans="1:12" x14ac:dyDescent="0.25">
      <c r="A370" s="1"/>
      <c r="G370" s="7"/>
      <c r="H370" s="2" t="e">
        <f t="shared" si="27"/>
        <v>#DIV/0!</v>
      </c>
      <c r="I370" s="2" t="e">
        <f t="shared" si="24"/>
        <v>#DIV/0!</v>
      </c>
      <c r="J370" s="3">
        <f t="shared" si="25"/>
        <v>-1</v>
      </c>
      <c r="K370" s="2">
        <f t="shared" si="26"/>
        <v>0</v>
      </c>
      <c r="L370" s="2">
        <f t="shared" si="28"/>
        <v>0</v>
      </c>
    </row>
    <row r="371" spans="1:12" x14ac:dyDescent="0.25">
      <c r="A371" s="1"/>
      <c r="G371" s="7"/>
      <c r="H371" s="2" t="e">
        <f t="shared" si="27"/>
        <v>#DIV/0!</v>
      </c>
      <c r="I371" s="2" t="e">
        <f t="shared" si="24"/>
        <v>#DIV/0!</v>
      </c>
      <c r="J371" s="3">
        <f t="shared" si="25"/>
        <v>-1</v>
      </c>
      <c r="K371" s="2">
        <f t="shared" si="26"/>
        <v>0</v>
      </c>
      <c r="L371" s="2">
        <f t="shared" si="28"/>
        <v>0</v>
      </c>
    </row>
    <row r="372" spans="1:12" x14ac:dyDescent="0.25">
      <c r="A372" s="1"/>
      <c r="G372" s="7"/>
      <c r="H372" s="2" t="e">
        <f t="shared" si="27"/>
        <v>#DIV/0!</v>
      </c>
      <c r="I372" s="2" t="e">
        <f t="shared" ref="I372:I418" si="29">AVERAGE(B323:B372)</f>
        <v>#DIV/0!</v>
      </c>
      <c r="J372" s="3">
        <f t="shared" si="25"/>
        <v>-1</v>
      </c>
      <c r="K372" s="2">
        <f t="shared" si="26"/>
        <v>0</v>
      </c>
      <c r="L372" s="2">
        <f t="shared" si="28"/>
        <v>0</v>
      </c>
    </row>
    <row r="373" spans="1:12" x14ac:dyDescent="0.25">
      <c r="A373" s="1"/>
      <c r="G373" s="7"/>
      <c r="H373" s="2" t="e">
        <f t="shared" si="27"/>
        <v>#DIV/0!</v>
      </c>
      <c r="I373" s="2" t="e">
        <f t="shared" si="29"/>
        <v>#DIV/0!</v>
      </c>
      <c r="J373" s="3">
        <f t="shared" si="25"/>
        <v>-1</v>
      </c>
      <c r="K373" s="2">
        <f t="shared" si="26"/>
        <v>0</v>
      </c>
      <c r="L373" s="2">
        <f t="shared" si="28"/>
        <v>0</v>
      </c>
    </row>
    <row r="374" spans="1:12" x14ac:dyDescent="0.25">
      <c r="A374" s="1"/>
      <c r="G374" s="7"/>
      <c r="H374" s="2" t="e">
        <f t="shared" si="27"/>
        <v>#DIV/0!</v>
      </c>
      <c r="I374" s="2" t="e">
        <f t="shared" si="29"/>
        <v>#DIV/0!</v>
      </c>
      <c r="J374" s="3">
        <f t="shared" si="25"/>
        <v>-1</v>
      </c>
      <c r="K374" s="2">
        <f t="shared" si="26"/>
        <v>0</v>
      </c>
      <c r="L374" s="2">
        <f t="shared" si="28"/>
        <v>0</v>
      </c>
    </row>
    <row r="375" spans="1:12" x14ac:dyDescent="0.25">
      <c r="A375" s="1"/>
      <c r="G375" s="7"/>
      <c r="H375" s="2" t="e">
        <f t="shared" si="27"/>
        <v>#DIV/0!</v>
      </c>
      <c r="I375" s="2" t="e">
        <f t="shared" si="29"/>
        <v>#DIV/0!</v>
      </c>
      <c r="J375" s="3">
        <f t="shared" si="25"/>
        <v>-1</v>
      </c>
      <c r="K375" s="2">
        <f t="shared" si="26"/>
        <v>0</v>
      </c>
      <c r="L375" s="2">
        <f t="shared" si="28"/>
        <v>0</v>
      </c>
    </row>
    <row r="376" spans="1:12" x14ac:dyDescent="0.25">
      <c r="A376" s="1"/>
      <c r="G376" s="7"/>
      <c r="H376" s="2" t="e">
        <f t="shared" si="27"/>
        <v>#DIV/0!</v>
      </c>
      <c r="I376" s="2" t="e">
        <f t="shared" si="29"/>
        <v>#DIV/0!</v>
      </c>
      <c r="J376" s="3">
        <f t="shared" si="25"/>
        <v>-1</v>
      </c>
      <c r="K376" s="2">
        <f t="shared" si="26"/>
        <v>0</v>
      </c>
      <c r="L376" s="2">
        <f t="shared" si="28"/>
        <v>0</v>
      </c>
    </row>
    <row r="377" spans="1:12" x14ac:dyDescent="0.25">
      <c r="A377" s="1"/>
      <c r="G377" s="7"/>
      <c r="H377" s="2" t="e">
        <f t="shared" si="27"/>
        <v>#DIV/0!</v>
      </c>
      <c r="I377" s="2" t="e">
        <f t="shared" si="29"/>
        <v>#DIV/0!</v>
      </c>
      <c r="J377" s="3">
        <f t="shared" si="25"/>
        <v>-1</v>
      </c>
      <c r="K377" s="2">
        <f t="shared" si="26"/>
        <v>0</v>
      </c>
      <c r="L377" s="2">
        <f t="shared" si="28"/>
        <v>0</v>
      </c>
    </row>
    <row r="378" spans="1:12" x14ac:dyDescent="0.25">
      <c r="A378" s="1"/>
      <c r="G378" s="7"/>
      <c r="H378" s="2" t="e">
        <f t="shared" si="27"/>
        <v>#DIV/0!</v>
      </c>
      <c r="I378" s="2" t="e">
        <f t="shared" si="29"/>
        <v>#DIV/0!</v>
      </c>
      <c r="J378" s="3">
        <f t="shared" si="25"/>
        <v>-1</v>
      </c>
      <c r="K378" s="2">
        <f t="shared" si="26"/>
        <v>0</v>
      </c>
      <c r="L378" s="2">
        <f t="shared" si="28"/>
        <v>0</v>
      </c>
    </row>
    <row r="379" spans="1:12" x14ac:dyDescent="0.25">
      <c r="A379" s="1"/>
      <c r="G379" s="7"/>
      <c r="H379" s="2" t="e">
        <f t="shared" si="27"/>
        <v>#DIV/0!</v>
      </c>
      <c r="I379" s="2" t="e">
        <f t="shared" si="29"/>
        <v>#DIV/0!</v>
      </c>
      <c r="J379" s="3">
        <f t="shared" si="25"/>
        <v>-1</v>
      </c>
      <c r="K379" s="2">
        <f t="shared" si="26"/>
        <v>0</v>
      </c>
      <c r="L379" s="2">
        <f t="shared" si="28"/>
        <v>0</v>
      </c>
    </row>
    <row r="380" spans="1:12" x14ac:dyDescent="0.25">
      <c r="A380" s="1"/>
      <c r="G380" s="7"/>
      <c r="H380" s="2" t="e">
        <f t="shared" si="27"/>
        <v>#DIV/0!</v>
      </c>
      <c r="I380" s="2" t="e">
        <f t="shared" si="29"/>
        <v>#DIV/0!</v>
      </c>
      <c r="J380" s="3">
        <f t="shared" si="25"/>
        <v>-1</v>
      </c>
      <c r="K380" s="2">
        <f t="shared" si="26"/>
        <v>0</v>
      </c>
      <c r="L380" s="2">
        <f t="shared" si="28"/>
        <v>0</v>
      </c>
    </row>
    <row r="381" spans="1:12" x14ac:dyDescent="0.25">
      <c r="A381" s="1"/>
      <c r="G381" s="7"/>
      <c r="H381" s="2" t="e">
        <f t="shared" si="27"/>
        <v>#DIV/0!</v>
      </c>
      <c r="I381" s="2" t="e">
        <f t="shared" si="29"/>
        <v>#DIV/0!</v>
      </c>
      <c r="J381" s="3">
        <f t="shared" si="25"/>
        <v>-1</v>
      </c>
      <c r="K381" s="2">
        <f t="shared" si="26"/>
        <v>0</v>
      </c>
      <c r="L381" s="2">
        <f t="shared" si="28"/>
        <v>0</v>
      </c>
    </row>
    <row r="382" spans="1:12" x14ac:dyDescent="0.25">
      <c r="A382" s="1"/>
      <c r="G382" s="7"/>
      <c r="H382" s="2" t="e">
        <f t="shared" si="27"/>
        <v>#DIV/0!</v>
      </c>
      <c r="I382" s="2" t="e">
        <f t="shared" si="29"/>
        <v>#DIV/0!</v>
      </c>
      <c r="J382" s="3">
        <f t="shared" si="25"/>
        <v>-1</v>
      </c>
      <c r="K382" s="2">
        <f t="shared" si="26"/>
        <v>0</v>
      </c>
      <c r="L382" s="2">
        <f t="shared" si="28"/>
        <v>0</v>
      </c>
    </row>
    <row r="383" spans="1:12" x14ac:dyDescent="0.25">
      <c r="A383" s="1"/>
      <c r="G383" s="7"/>
      <c r="H383" s="2" t="e">
        <f t="shared" si="27"/>
        <v>#DIV/0!</v>
      </c>
      <c r="I383" s="2" t="e">
        <f t="shared" si="29"/>
        <v>#DIV/0!</v>
      </c>
      <c r="J383" s="3">
        <f t="shared" si="25"/>
        <v>-1</v>
      </c>
      <c r="K383" s="2">
        <f t="shared" si="26"/>
        <v>0</v>
      </c>
      <c r="L383" s="2">
        <f t="shared" si="28"/>
        <v>0</v>
      </c>
    </row>
    <row r="384" spans="1:12" x14ac:dyDescent="0.25">
      <c r="A384" s="1"/>
      <c r="G384" s="7"/>
      <c r="H384" s="2" t="e">
        <f t="shared" si="27"/>
        <v>#DIV/0!</v>
      </c>
      <c r="I384" s="2" t="e">
        <f t="shared" si="29"/>
        <v>#DIV/0!</v>
      </c>
      <c r="J384" s="3">
        <f t="shared" si="25"/>
        <v>-1</v>
      </c>
      <c r="K384" s="2">
        <f t="shared" si="26"/>
        <v>0</v>
      </c>
      <c r="L384" s="2">
        <f t="shared" si="28"/>
        <v>0</v>
      </c>
    </row>
    <row r="385" spans="1:12" x14ac:dyDescent="0.25">
      <c r="A385" s="1"/>
      <c r="G385" s="7"/>
      <c r="H385" s="2" t="e">
        <f t="shared" si="27"/>
        <v>#DIV/0!</v>
      </c>
      <c r="I385" s="2" t="e">
        <f t="shared" si="29"/>
        <v>#DIV/0!</v>
      </c>
      <c r="J385" s="3">
        <f t="shared" si="25"/>
        <v>-1</v>
      </c>
      <c r="K385" s="2">
        <f t="shared" si="26"/>
        <v>0</v>
      </c>
      <c r="L385" s="2">
        <f t="shared" si="28"/>
        <v>0</v>
      </c>
    </row>
    <row r="386" spans="1:12" x14ac:dyDescent="0.25">
      <c r="A386" s="1"/>
      <c r="G386" s="7"/>
      <c r="H386" s="2" t="e">
        <f t="shared" si="27"/>
        <v>#DIV/0!</v>
      </c>
      <c r="I386" s="2" t="e">
        <f t="shared" si="29"/>
        <v>#DIV/0!</v>
      </c>
      <c r="J386" s="3">
        <f t="shared" si="25"/>
        <v>-1</v>
      </c>
      <c r="K386" s="2">
        <f t="shared" si="26"/>
        <v>0</v>
      </c>
      <c r="L386" s="2">
        <f t="shared" si="28"/>
        <v>0</v>
      </c>
    </row>
    <row r="387" spans="1:12" x14ac:dyDescent="0.25">
      <c r="A387" s="1"/>
      <c r="G387" s="7"/>
      <c r="H387" s="2" t="e">
        <f t="shared" si="27"/>
        <v>#DIV/0!</v>
      </c>
      <c r="I387" s="2" t="e">
        <f t="shared" si="29"/>
        <v>#DIV/0!</v>
      </c>
      <c r="J387" s="3">
        <f t="shared" ref="J387:J418" si="30">(B387/$B$2)-1</f>
        <v>-1</v>
      </c>
      <c r="K387" s="2">
        <f t="shared" ref="K387:K418" si="31">D387-E387</f>
        <v>0</v>
      </c>
      <c r="L387" s="2">
        <f t="shared" si="28"/>
        <v>0</v>
      </c>
    </row>
    <row r="388" spans="1:12" x14ac:dyDescent="0.25">
      <c r="A388" s="1"/>
      <c r="G388" s="7"/>
      <c r="H388" s="2" t="e">
        <f t="shared" si="27"/>
        <v>#DIV/0!</v>
      </c>
      <c r="I388" s="2" t="e">
        <f t="shared" si="29"/>
        <v>#DIV/0!</v>
      </c>
      <c r="J388" s="3">
        <f t="shared" si="30"/>
        <v>-1</v>
      </c>
      <c r="K388" s="2">
        <f t="shared" si="31"/>
        <v>0</v>
      </c>
      <c r="L388" s="2">
        <f t="shared" si="28"/>
        <v>0</v>
      </c>
    </row>
    <row r="389" spans="1:12" x14ac:dyDescent="0.25">
      <c r="A389" s="1"/>
      <c r="G389" s="7"/>
      <c r="H389" s="2" t="e">
        <f t="shared" si="27"/>
        <v>#DIV/0!</v>
      </c>
      <c r="I389" s="2" t="e">
        <f t="shared" si="29"/>
        <v>#DIV/0!</v>
      </c>
      <c r="J389" s="3">
        <f t="shared" si="30"/>
        <v>-1</v>
      </c>
      <c r="K389" s="2">
        <f t="shared" si="31"/>
        <v>0</v>
      </c>
      <c r="L389" s="2">
        <f t="shared" si="28"/>
        <v>0</v>
      </c>
    </row>
    <row r="390" spans="1:12" x14ac:dyDescent="0.25">
      <c r="A390" s="1"/>
      <c r="G390" s="7"/>
      <c r="H390" s="2" t="e">
        <f t="shared" si="27"/>
        <v>#DIV/0!</v>
      </c>
      <c r="I390" s="2" t="e">
        <f t="shared" si="29"/>
        <v>#DIV/0!</v>
      </c>
      <c r="J390" s="3">
        <f t="shared" si="30"/>
        <v>-1</v>
      </c>
      <c r="K390" s="2">
        <f t="shared" si="31"/>
        <v>0</v>
      </c>
      <c r="L390" s="2">
        <f t="shared" si="28"/>
        <v>0</v>
      </c>
    </row>
    <row r="391" spans="1:12" x14ac:dyDescent="0.25">
      <c r="A391" s="1"/>
      <c r="G391" s="7"/>
      <c r="H391" s="2" t="e">
        <f t="shared" si="27"/>
        <v>#DIV/0!</v>
      </c>
      <c r="I391" s="2" t="e">
        <f t="shared" si="29"/>
        <v>#DIV/0!</v>
      </c>
      <c r="J391" s="3">
        <f t="shared" si="30"/>
        <v>-1</v>
      </c>
      <c r="K391" s="2">
        <f t="shared" si="31"/>
        <v>0</v>
      </c>
      <c r="L391" s="2">
        <f t="shared" si="28"/>
        <v>0</v>
      </c>
    </row>
    <row r="392" spans="1:12" x14ac:dyDescent="0.25">
      <c r="A392" s="1"/>
      <c r="G392" s="7"/>
      <c r="H392" s="2" t="e">
        <f t="shared" si="27"/>
        <v>#DIV/0!</v>
      </c>
      <c r="I392" s="2" t="e">
        <f t="shared" si="29"/>
        <v>#DIV/0!</v>
      </c>
      <c r="J392" s="3">
        <f t="shared" si="30"/>
        <v>-1</v>
      </c>
      <c r="K392" s="2">
        <f t="shared" si="31"/>
        <v>0</v>
      </c>
      <c r="L392" s="2">
        <f t="shared" si="28"/>
        <v>0</v>
      </c>
    </row>
    <row r="393" spans="1:12" x14ac:dyDescent="0.25">
      <c r="A393" s="1"/>
      <c r="G393" s="7"/>
      <c r="H393" s="2" t="e">
        <f t="shared" si="27"/>
        <v>#DIV/0!</v>
      </c>
      <c r="I393" s="2" t="e">
        <f t="shared" si="29"/>
        <v>#DIV/0!</v>
      </c>
      <c r="J393" s="3">
        <f t="shared" si="30"/>
        <v>-1</v>
      </c>
      <c r="K393" s="2">
        <f t="shared" si="31"/>
        <v>0</v>
      </c>
      <c r="L393" s="2">
        <f t="shared" si="28"/>
        <v>0</v>
      </c>
    </row>
    <row r="394" spans="1:12" x14ac:dyDescent="0.25">
      <c r="A394" s="1"/>
      <c r="G394" s="7"/>
      <c r="H394" s="2" t="e">
        <f t="shared" si="27"/>
        <v>#DIV/0!</v>
      </c>
      <c r="I394" s="2" t="e">
        <f t="shared" si="29"/>
        <v>#DIV/0!</v>
      </c>
      <c r="J394" s="3">
        <f t="shared" si="30"/>
        <v>-1</v>
      </c>
      <c r="K394" s="2">
        <f t="shared" si="31"/>
        <v>0</v>
      </c>
      <c r="L394" s="2">
        <f t="shared" si="28"/>
        <v>0</v>
      </c>
    </row>
    <row r="395" spans="1:12" x14ac:dyDescent="0.25">
      <c r="A395" s="1"/>
      <c r="G395" s="7"/>
      <c r="H395" s="2" t="e">
        <f t="shared" si="27"/>
        <v>#DIV/0!</v>
      </c>
      <c r="I395" s="2" t="e">
        <f t="shared" si="29"/>
        <v>#DIV/0!</v>
      </c>
      <c r="J395" s="3">
        <f t="shared" si="30"/>
        <v>-1</v>
      </c>
      <c r="K395" s="2">
        <f t="shared" si="31"/>
        <v>0</v>
      </c>
      <c r="L395" s="2">
        <f t="shared" si="28"/>
        <v>0</v>
      </c>
    </row>
    <row r="396" spans="1:12" x14ac:dyDescent="0.25">
      <c r="A396" s="1"/>
      <c r="G396" s="7"/>
      <c r="H396" s="2" t="e">
        <f t="shared" si="27"/>
        <v>#DIV/0!</v>
      </c>
      <c r="I396" s="2" t="e">
        <f t="shared" si="29"/>
        <v>#DIV/0!</v>
      </c>
      <c r="J396" s="3">
        <f t="shared" si="30"/>
        <v>-1</v>
      </c>
      <c r="K396" s="2">
        <f t="shared" si="31"/>
        <v>0</v>
      </c>
      <c r="L396" s="2">
        <f t="shared" si="28"/>
        <v>0</v>
      </c>
    </row>
    <row r="397" spans="1:12" x14ac:dyDescent="0.25">
      <c r="A397" s="1"/>
      <c r="G397" s="7"/>
      <c r="H397" s="2" t="e">
        <f t="shared" si="27"/>
        <v>#DIV/0!</v>
      </c>
      <c r="I397" s="2" t="e">
        <f t="shared" si="29"/>
        <v>#DIV/0!</v>
      </c>
      <c r="J397" s="3">
        <f t="shared" si="30"/>
        <v>-1</v>
      </c>
      <c r="K397" s="2">
        <f t="shared" si="31"/>
        <v>0</v>
      </c>
      <c r="L397" s="2">
        <f t="shared" si="28"/>
        <v>0</v>
      </c>
    </row>
    <row r="398" spans="1:12" x14ac:dyDescent="0.25">
      <c r="A398" s="1"/>
      <c r="G398" s="7"/>
      <c r="H398" s="2" t="e">
        <f t="shared" si="27"/>
        <v>#DIV/0!</v>
      </c>
      <c r="I398" s="2" t="e">
        <f t="shared" si="29"/>
        <v>#DIV/0!</v>
      </c>
      <c r="J398" s="3">
        <f t="shared" si="30"/>
        <v>-1</v>
      </c>
      <c r="K398" s="2">
        <f t="shared" si="31"/>
        <v>0</v>
      </c>
      <c r="L398" s="2">
        <f t="shared" si="28"/>
        <v>0</v>
      </c>
    </row>
    <row r="399" spans="1:12" x14ac:dyDescent="0.25">
      <c r="A399" s="1"/>
      <c r="G399" s="7"/>
      <c r="H399" s="2" t="e">
        <f t="shared" si="27"/>
        <v>#DIV/0!</v>
      </c>
      <c r="I399" s="2" t="e">
        <f t="shared" si="29"/>
        <v>#DIV/0!</v>
      </c>
      <c r="J399" s="3">
        <f t="shared" si="30"/>
        <v>-1</v>
      </c>
      <c r="K399" s="2">
        <f t="shared" si="31"/>
        <v>0</v>
      </c>
      <c r="L399" s="2">
        <f t="shared" si="28"/>
        <v>0</v>
      </c>
    </row>
    <row r="400" spans="1:12" x14ac:dyDescent="0.25">
      <c r="A400" s="1"/>
      <c r="G400" s="7"/>
      <c r="H400" s="2" t="e">
        <f t="shared" si="27"/>
        <v>#DIV/0!</v>
      </c>
      <c r="I400" s="2" t="e">
        <f t="shared" si="29"/>
        <v>#DIV/0!</v>
      </c>
      <c r="J400" s="3">
        <f t="shared" si="30"/>
        <v>-1</v>
      </c>
      <c r="K400" s="2">
        <f t="shared" si="31"/>
        <v>0</v>
      </c>
      <c r="L400" s="2">
        <f t="shared" si="28"/>
        <v>0</v>
      </c>
    </row>
    <row r="401" spans="1:12" x14ac:dyDescent="0.25">
      <c r="A401" s="1"/>
      <c r="G401" s="7"/>
      <c r="H401" s="2" t="e">
        <f t="shared" si="27"/>
        <v>#DIV/0!</v>
      </c>
      <c r="I401" s="2" t="e">
        <f t="shared" si="29"/>
        <v>#DIV/0!</v>
      </c>
      <c r="J401" s="3">
        <f t="shared" si="30"/>
        <v>-1</v>
      </c>
      <c r="K401" s="2">
        <f t="shared" si="31"/>
        <v>0</v>
      </c>
      <c r="L401" s="2">
        <f t="shared" si="28"/>
        <v>0</v>
      </c>
    </row>
    <row r="402" spans="1:12" x14ac:dyDescent="0.25">
      <c r="A402" s="1"/>
      <c r="G402" s="7"/>
      <c r="H402" s="2" t="e">
        <f t="shared" si="27"/>
        <v>#DIV/0!</v>
      </c>
      <c r="I402" s="2" t="e">
        <f t="shared" si="29"/>
        <v>#DIV/0!</v>
      </c>
      <c r="J402" s="3">
        <f t="shared" si="30"/>
        <v>-1</v>
      </c>
      <c r="K402" s="2">
        <f t="shared" si="31"/>
        <v>0</v>
      </c>
      <c r="L402" s="2">
        <f t="shared" si="28"/>
        <v>0</v>
      </c>
    </row>
    <row r="403" spans="1:12" x14ac:dyDescent="0.25">
      <c r="A403" s="1"/>
      <c r="G403" s="7"/>
      <c r="H403" s="2" t="e">
        <f t="shared" si="27"/>
        <v>#DIV/0!</v>
      </c>
      <c r="I403" s="2" t="e">
        <f t="shared" si="29"/>
        <v>#DIV/0!</v>
      </c>
      <c r="J403" s="3">
        <f t="shared" si="30"/>
        <v>-1</v>
      </c>
      <c r="K403" s="2">
        <f t="shared" si="31"/>
        <v>0</v>
      </c>
      <c r="L403" s="2">
        <f t="shared" si="28"/>
        <v>0</v>
      </c>
    </row>
    <row r="404" spans="1:12" x14ac:dyDescent="0.25">
      <c r="A404" s="1"/>
      <c r="G404" s="7"/>
      <c r="H404" s="2" t="e">
        <f t="shared" si="27"/>
        <v>#DIV/0!</v>
      </c>
      <c r="I404" s="2" t="e">
        <f t="shared" si="29"/>
        <v>#DIV/0!</v>
      </c>
      <c r="J404" s="3">
        <f t="shared" si="30"/>
        <v>-1</v>
      </c>
      <c r="K404" s="2">
        <f t="shared" si="31"/>
        <v>0</v>
      </c>
      <c r="L404" s="2">
        <f t="shared" si="28"/>
        <v>0</v>
      </c>
    </row>
    <row r="405" spans="1:12" x14ac:dyDescent="0.25">
      <c r="A405" s="1"/>
      <c r="G405" s="7"/>
      <c r="H405" s="2" t="e">
        <f t="shared" si="27"/>
        <v>#DIV/0!</v>
      </c>
      <c r="I405" s="2" t="e">
        <f t="shared" si="29"/>
        <v>#DIV/0!</v>
      </c>
      <c r="J405" s="3">
        <f t="shared" si="30"/>
        <v>-1</v>
      </c>
      <c r="K405" s="2">
        <f t="shared" si="31"/>
        <v>0</v>
      </c>
      <c r="L405" s="2">
        <f t="shared" si="28"/>
        <v>0</v>
      </c>
    </row>
    <row r="406" spans="1:12" x14ac:dyDescent="0.25">
      <c r="A406" s="1"/>
      <c r="G406" s="7"/>
      <c r="H406" s="2" t="e">
        <f t="shared" ref="H406:H418" si="32">AVERAGE(B387:B406)</f>
        <v>#DIV/0!</v>
      </c>
      <c r="I406" s="2" t="e">
        <f t="shared" si="29"/>
        <v>#DIV/0!</v>
      </c>
      <c r="J406" s="3">
        <f t="shared" si="30"/>
        <v>-1</v>
      </c>
      <c r="K406" s="2">
        <f t="shared" si="31"/>
        <v>0</v>
      </c>
      <c r="L406" s="2">
        <f t="shared" ref="L406:L418" si="33">AVERAGE(K387:K406)</f>
        <v>0</v>
      </c>
    </row>
    <row r="407" spans="1:12" x14ac:dyDescent="0.25">
      <c r="A407" s="1"/>
      <c r="G407" s="7"/>
      <c r="H407" s="2" t="e">
        <f t="shared" si="32"/>
        <v>#DIV/0!</v>
      </c>
      <c r="I407" s="2" t="e">
        <f t="shared" si="29"/>
        <v>#DIV/0!</v>
      </c>
      <c r="J407" s="3">
        <f t="shared" si="30"/>
        <v>-1</v>
      </c>
      <c r="K407" s="2">
        <f t="shared" si="31"/>
        <v>0</v>
      </c>
      <c r="L407" s="2">
        <f t="shared" si="33"/>
        <v>0</v>
      </c>
    </row>
    <row r="408" spans="1:12" x14ac:dyDescent="0.25">
      <c r="A408" s="1"/>
      <c r="G408" s="7"/>
      <c r="H408" s="2" t="e">
        <f t="shared" si="32"/>
        <v>#DIV/0!</v>
      </c>
      <c r="I408" s="2" t="e">
        <f t="shared" si="29"/>
        <v>#DIV/0!</v>
      </c>
      <c r="J408" s="3">
        <f t="shared" si="30"/>
        <v>-1</v>
      </c>
      <c r="K408" s="2">
        <f t="shared" si="31"/>
        <v>0</v>
      </c>
      <c r="L408" s="2">
        <f t="shared" si="33"/>
        <v>0</v>
      </c>
    </row>
    <row r="409" spans="1:12" x14ac:dyDescent="0.25">
      <c r="A409" s="1"/>
      <c r="G409" s="7"/>
      <c r="H409" s="2" t="e">
        <f t="shared" si="32"/>
        <v>#DIV/0!</v>
      </c>
      <c r="I409" s="2" t="e">
        <f t="shared" si="29"/>
        <v>#DIV/0!</v>
      </c>
      <c r="J409" s="3">
        <f t="shared" si="30"/>
        <v>-1</v>
      </c>
      <c r="K409" s="2">
        <f t="shared" si="31"/>
        <v>0</v>
      </c>
      <c r="L409" s="2">
        <f t="shared" si="33"/>
        <v>0</v>
      </c>
    </row>
    <row r="410" spans="1:12" x14ac:dyDescent="0.25">
      <c r="A410" s="1"/>
      <c r="G410" s="7"/>
      <c r="H410" s="2" t="e">
        <f t="shared" si="32"/>
        <v>#DIV/0!</v>
      </c>
      <c r="I410" s="2" t="e">
        <f t="shared" si="29"/>
        <v>#DIV/0!</v>
      </c>
      <c r="J410" s="3">
        <f t="shared" si="30"/>
        <v>-1</v>
      </c>
      <c r="K410" s="2">
        <f t="shared" si="31"/>
        <v>0</v>
      </c>
      <c r="L410" s="2">
        <f t="shared" si="33"/>
        <v>0</v>
      </c>
    </row>
    <row r="411" spans="1:12" x14ac:dyDescent="0.25">
      <c r="A411" s="1"/>
      <c r="G411" s="7"/>
      <c r="H411" s="2" t="e">
        <f t="shared" si="32"/>
        <v>#DIV/0!</v>
      </c>
      <c r="I411" s="2" t="e">
        <f t="shared" si="29"/>
        <v>#DIV/0!</v>
      </c>
      <c r="J411" s="3">
        <f t="shared" si="30"/>
        <v>-1</v>
      </c>
      <c r="K411" s="2">
        <f t="shared" si="31"/>
        <v>0</v>
      </c>
      <c r="L411" s="2">
        <f t="shared" si="33"/>
        <v>0</v>
      </c>
    </row>
    <row r="412" spans="1:12" x14ac:dyDescent="0.25">
      <c r="A412" s="1"/>
      <c r="G412" s="7"/>
      <c r="H412" s="2" t="e">
        <f t="shared" si="32"/>
        <v>#DIV/0!</v>
      </c>
      <c r="I412" s="2" t="e">
        <f t="shared" si="29"/>
        <v>#DIV/0!</v>
      </c>
      <c r="J412" s="3">
        <f t="shared" si="30"/>
        <v>-1</v>
      </c>
      <c r="K412" s="2">
        <f t="shared" si="31"/>
        <v>0</v>
      </c>
      <c r="L412" s="2">
        <f t="shared" si="33"/>
        <v>0</v>
      </c>
    </row>
    <row r="413" spans="1:12" x14ac:dyDescent="0.25">
      <c r="A413" s="1"/>
      <c r="G413" s="7"/>
      <c r="H413" s="2" t="e">
        <f t="shared" si="32"/>
        <v>#DIV/0!</v>
      </c>
      <c r="I413" s="2" t="e">
        <f t="shared" si="29"/>
        <v>#DIV/0!</v>
      </c>
      <c r="J413" s="3">
        <f t="shared" si="30"/>
        <v>-1</v>
      </c>
      <c r="K413" s="2">
        <f t="shared" si="31"/>
        <v>0</v>
      </c>
      <c r="L413" s="2">
        <f t="shared" si="33"/>
        <v>0</v>
      </c>
    </row>
    <row r="414" spans="1:12" x14ac:dyDescent="0.25">
      <c r="A414" s="1"/>
      <c r="G414" s="7"/>
      <c r="H414" s="2" t="e">
        <f t="shared" si="32"/>
        <v>#DIV/0!</v>
      </c>
      <c r="I414" s="2" t="e">
        <f t="shared" si="29"/>
        <v>#DIV/0!</v>
      </c>
      <c r="J414" s="3">
        <f t="shared" si="30"/>
        <v>-1</v>
      </c>
      <c r="K414" s="2">
        <f t="shared" si="31"/>
        <v>0</v>
      </c>
      <c r="L414" s="2">
        <f t="shared" si="33"/>
        <v>0</v>
      </c>
    </row>
    <row r="415" spans="1:12" x14ac:dyDescent="0.25">
      <c r="A415" s="1"/>
      <c r="G415" s="7"/>
      <c r="H415" s="2" t="e">
        <f t="shared" si="32"/>
        <v>#DIV/0!</v>
      </c>
      <c r="I415" s="2" t="e">
        <f t="shared" si="29"/>
        <v>#DIV/0!</v>
      </c>
      <c r="J415" s="3">
        <f t="shared" si="30"/>
        <v>-1</v>
      </c>
      <c r="K415" s="2">
        <f t="shared" si="31"/>
        <v>0</v>
      </c>
      <c r="L415" s="2">
        <f t="shared" si="33"/>
        <v>0</v>
      </c>
    </row>
    <row r="416" spans="1:12" x14ac:dyDescent="0.25">
      <c r="A416" s="1"/>
      <c r="G416" s="7"/>
      <c r="H416" s="2" t="e">
        <f t="shared" si="32"/>
        <v>#DIV/0!</v>
      </c>
      <c r="I416" s="2" t="e">
        <f t="shared" si="29"/>
        <v>#DIV/0!</v>
      </c>
      <c r="J416" s="3">
        <f t="shared" si="30"/>
        <v>-1</v>
      </c>
      <c r="K416" s="2">
        <f t="shared" si="31"/>
        <v>0</v>
      </c>
      <c r="L416" s="2">
        <f t="shared" si="33"/>
        <v>0</v>
      </c>
    </row>
    <row r="417" spans="1:12" x14ac:dyDescent="0.25">
      <c r="A417" s="1"/>
      <c r="G417" s="7"/>
      <c r="H417" s="2" t="e">
        <f t="shared" si="32"/>
        <v>#DIV/0!</v>
      </c>
      <c r="I417" s="2" t="e">
        <f t="shared" si="29"/>
        <v>#DIV/0!</v>
      </c>
      <c r="J417" s="3">
        <f t="shared" si="30"/>
        <v>-1</v>
      </c>
      <c r="K417" s="2">
        <f t="shared" si="31"/>
        <v>0</v>
      </c>
      <c r="L417" s="2">
        <f t="shared" si="33"/>
        <v>0</v>
      </c>
    </row>
    <row r="418" spans="1:12" x14ac:dyDescent="0.25">
      <c r="A418" s="1"/>
      <c r="G418" s="7"/>
      <c r="H418" s="2" t="e">
        <f t="shared" si="32"/>
        <v>#DIV/0!</v>
      </c>
      <c r="I418" s="2" t="e">
        <f t="shared" si="29"/>
        <v>#DIV/0!</v>
      </c>
      <c r="J418" s="3">
        <f t="shared" si="30"/>
        <v>-1</v>
      </c>
      <c r="K418" s="2">
        <f t="shared" si="31"/>
        <v>0</v>
      </c>
      <c r="L418" s="2">
        <f t="shared" si="3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ACC2-B776-48A2-9E2B-E190AF2D75DC}">
  <dimension ref="A1"/>
  <sheetViews>
    <sheetView tabSelected="1" workbookViewId="0">
      <selection activeCell="I31" sqref="I31"/>
    </sheetView>
  </sheetViews>
  <sheetFormatPr defaultRowHeight="15" x14ac:dyDescent="0.25"/>
  <sheetData>
    <row r="1" spans="1:1" x14ac:dyDescent="0.25">
      <c r="A1" t="s">
        <v>182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 Stocks</vt:lpstr>
      <vt:lpstr>Sheet2</vt:lpstr>
      <vt:lpstr>Tunisia Stocks</vt:lpstr>
      <vt:lpstr>Tun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2025-11-11T21:11:55Z</dcterms:created>
  <dcterms:modified xsi:type="dcterms:W3CDTF">2025-11-11T23:09:59Z</dcterms:modified>
</cp:coreProperties>
</file>